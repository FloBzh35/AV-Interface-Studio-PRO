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igitalis35-my.sharepoint.com/personal/florent_digitalis_fr/Documents/Documents/Perso/projet_av_test_2026-10-04_1854/AV-Interface-Studio-PRO_1.9/AV-Interface-Studio/"/>
    </mc:Choice>
  </mc:AlternateContent>
  <xr:revisionPtr revIDLastSave="1" documentId="13_ncr:1_{41AD4D07-44ED-4F6A-955D-EF6EE44F575C}" xr6:coauthVersionLast="47" xr6:coauthVersionMax="47" xr10:uidLastSave="{294C911E-A135-41CF-A54C-E006B699CBA5}"/>
  <bookViews>
    <workbookView xWindow="-120" yWindow="-120" windowWidth="29040" windowHeight="15720" activeTab="1" xr2:uid="{00000000-000D-0000-FFFF-FFFF00000000}"/>
  </bookViews>
  <sheets>
    <sheet name="Catalogue" sheetId="1" r:id="rId1"/>
    <sheet name="Bibliotheques" sheetId="2" r:id="rId2"/>
    <sheet name="Lis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" i="1" l="1"/>
  <c r="E1005" i="1"/>
  <c r="C1005" i="1"/>
  <c r="H1004" i="1"/>
  <c r="E1004" i="1"/>
  <c r="C1004" i="1"/>
  <c r="H1003" i="1"/>
  <c r="E1003" i="1"/>
  <c r="C1003" i="1"/>
  <c r="H1002" i="1"/>
  <c r="E1002" i="1"/>
  <c r="C1002" i="1"/>
  <c r="H1001" i="1"/>
  <c r="E1001" i="1"/>
  <c r="C1001" i="1"/>
  <c r="H1000" i="1"/>
  <c r="E1000" i="1"/>
  <c r="C1000" i="1"/>
  <c r="H999" i="1"/>
  <c r="E999" i="1"/>
  <c r="C999" i="1"/>
  <c r="H998" i="1"/>
  <c r="E998" i="1"/>
  <c r="C998" i="1"/>
  <c r="H997" i="1"/>
  <c r="E997" i="1"/>
  <c r="C997" i="1"/>
  <c r="H996" i="1"/>
  <c r="E996" i="1"/>
  <c r="C996" i="1"/>
  <c r="H995" i="1"/>
  <c r="E995" i="1"/>
  <c r="C995" i="1"/>
  <c r="H994" i="1"/>
  <c r="E994" i="1"/>
  <c r="C994" i="1"/>
  <c r="H993" i="1"/>
  <c r="E993" i="1"/>
  <c r="C993" i="1"/>
  <c r="H992" i="1"/>
  <c r="E992" i="1"/>
  <c r="C992" i="1"/>
  <c r="H991" i="1"/>
  <c r="E991" i="1"/>
  <c r="C991" i="1"/>
  <c r="H990" i="1"/>
  <c r="E990" i="1"/>
  <c r="C990" i="1"/>
  <c r="H989" i="1"/>
  <c r="E989" i="1"/>
  <c r="C989" i="1"/>
  <c r="H988" i="1"/>
  <c r="E988" i="1"/>
  <c r="C988" i="1"/>
  <c r="H987" i="1"/>
  <c r="E987" i="1"/>
  <c r="C987" i="1"/>
  <c r="H986" i="1"/>
  <c r="E986" i="1"/>
  <c r="C986" i="1"/>
  <c r="H985" i="1"/>
  <c r="E985" i="1"/>
  <c r="C985" i="1"/>
  <c r="H984" i="1"/>
  <c r="E984" i="1"/>
  <c r="C984" i="1"/>
  <c r="H983" i="1"/>
  <c r="E983" i="1"/>
  <c r="C983" i="1"/>
  <c r="H982" i="1"/>
  <c r="E982" i="1"/>
  <c r="C982" i="1"/>
  <c r="H981" i="1"/>
  <c r="E981" i="1"/>
  <c r="C981" i="1"/>
  <c r="H980" i="1"/>
  <c r="E980" i="1"/>
  <c r="C980" i="1"/>
  <c r="H979" i="1"/>
  <c r="E979" i="1"/>
  <c r="C979" i="1"/>
  <c r="H978" i="1"/>
  <c r="E978" i="1"/>
  <c r="C978" i="1"/>
  <c r="H977" i="1"/>
  <c r="E977" i="1"/>
  <c r="C977" i="1"/>
  <c r="H976" i="1"/>
  <c r="E976" i="1"/>
  <c r="C976" i="1"/>
  <c r="H975" i="1"/>
  <c r="E975" i="1"/>
  <c r="C975" i="1"/>
  <c r="H974" i="1"/>
  <c r="E974" i="1"/>
  <c r="C974" i="1"/>
  <c r="H973" i="1"/>
  <c r="E973" i="1"/>
  <c r="C973" i="1"/>
  <c r="H972" i="1"/>
  <c r="E972" i="1"/>
  <c r="C972" i="1"/>
  <c r="H971" i="1"/>
  <c r="E971" i="1"/>
  <c r="C971" i="1"/>
  <c r="H970" i="1"/>
  <c r="E970" i="1"/>
  <c r="C970" i="1"/>
  <c r="H969" i="1"/>
  <c r="E969" i="1"/>
  <c r="C969" i="1"/>
  <c r="H968" i="1"/>
  <c r="E968" i="1"/>
  <c r="C968" i="1"/>
  <c r="H967" i="1"/>
  <c r="E967" i="1"/>
  <c r="C967" i="1"/>
  <c r="H966" i="1"/>
  <c r="E966" i="1"/>
  <c r="C966" i="1"/>
  <c r="H965" i="1"/>
  <c r="E965" i="1"/>
  <c r="C965" i="1"/>
  <c r="H964" i="1"/>
  <c r="E964" i="1"/>
  <c r="C964" i="1"/>
  <c r="H963" i="1"/>
  <c r="E963" i="1"/>
  <c r="C963" i="1"/>
  <c r="H962" i="1"/>
  <c r="E962" i="1"/>
  <c r="C962" i="1"/>
  <c r="H961" i="1"/>
  <c r="E961" i="1"/>
  <c r="C961" i="1"/>
  <c r="H960" i="1"/>
  <c r="E960" i="1"/>
  <c r="C960" i="1"/>
  <c r="H959" i="1"/>
  <c r="E959" i="1"/>
  <c r="C959" i="1"/>
  <c r="H958" i="1"/>
  <c r="E958" i="1"/>
  <c r="C958" i="1"/>
  <c r="H957" i="1"/>
  <c r="E957" i="1"/>
  <c r="C957" i="1"/>
  <c r="H956" i="1"/>
  <c r="E956" i="1"/>
  <c r="C956" i="1"/>
  <c r="H955" i="1"/>
  <c r="E955" i="1"/>
  <c r="C955" i="1"/>
  <c r="H954" i="1"/>
  <c r="E954" i="1"/>
  <c r="C954" i="1"/>
  <c r="H953" i="1"/>
  <c r="E953" i="1"/>
  <c r="C953" i="1"/>
  <c r="H952" i="1"/>
  <c r="E952" i="1"/>
  <c r="C952" i="1"/>
  <c r="H951" i="1"/>
  <c r="E951" i="1"/>
  <c r="C951" i="1"/>
  <c r="H950" i="1"/>
  <c r="E950" i="1"/>
  <c r="C950" i="1"/>
  <c r="H949" i="1"/>
  <c r="E949" i="1"/>
  <c r="C949" i="1"/>
  <c r="H948" i="1"/>
  <c r="E948" i="1"/>
  <c r="C948" i="1"/>
  <c r="H947" i="1"/>
  <c r="E947" i="1"/>
  <c r="C947" i="1"/>
  <c r="H946" i="1"/>
  <c r="E946" i="1"/>
  <c r="C946" i="1"/>
  <c r="H945" i="1"/>
  <c r="E945" i="1"/>
  <c r="C945" i="1"/>
  <c r="H944" i="1"/>
  <c r="E944" i="1"/>
  <c r="C944" i="1"/>
  <c r="H943" i="1"/>
  <c r="E943" i="1"/>
  <c r="C943" i="1"/>
  <c r="H942" i="1"/>
  <c r="E942" i="1"/>
  <c r="C942" i="1"/>
  <c r="H941" i="1"/>
  <c r="E941" i="1"/>
  <c r="C941" i="1"/>
  <c r="H940" i="1"/>
  <c r="E940" i="1"/>
  <c r="C940" i="1"/>
  <c r="H939" i="1"/>
  <c r="E939" i="1"/>
  <c r="C939" i="1"/>
  <c r="H938" i="1"/>
  <c r="E938" i="1"/>
  <c r="C938" i="1"/>
  <c r="H937" i="1"/>
  <c r="E937" i="1"/>
  <c r="C937" i="1"/>
  <c r="H936" i="1"/>
  <c r="E936" i="1"/>
  <c r="C936" i="1"/>
  <c r="H935" i="1"/>
  <c r="E935" i="1"/>
  <c r="C935" i="1"/>
  <c r="H934" i="1"/>
  <c r="E934" i="1"/>
  <c r="C934" i="1"/>
  <c r="H933" i="1"/>
  <c r="E933" i="1"/>
  <c r="C933" i="1"/>
  <c r="H932" i="1"/>
  <c r="E932" i="1"/>
  <c r="C932" i="1"/>
  <c r="H931" i="1"/>
  <c r="E931" i="1"/>
  <c r="C931" i="1"/>
  <c r="H930" i="1"/>
  <c r="E930" i="1"/>
  <c r="C930" i="1"/>
  <c r="H929" i="1"/>
  <c r="E929" i="1"/>
  <c r="C929" i="1"/>
  <c r="H928" i="1"/>
  <c r="E928" i="1"/>
  <c r="C928" i="1"/>
  <c r="H927" i="1"/>
  <c r="E927" i="1"/>
  <c r="C927" i="1"/>
  <c r="H926" i="1"/>
  <c r="E926" i="1"/>
  <c r="C926" i="1"/>
  <c r="H925" i="1"/>
  <c r="E925" i="1"/>
  <c r="C925" i="1"/>
  <c r="H924" i="1"/>
  <c r="E924" i="1"/>
  <c r="C924" i="1"/>
  <c r="H923" i="1"/>
  <c r="E923" i="1"/>
  <c r="C923" i="1"/>
  <c r="H922" i="1"/>
  <c r="E922" i="1"/>
  <c r="C922" i="1"/>
  <c r="H921" i="1"/>
  <c r="E921" i="1"/>
  <c r="C921" i="1"/>
  <c r="H920" i="1"/>
  <c r="E920" i="1"/>
  <c r="C920" i="1"/>
  <c r="H919" i="1"/>
  <c r="E919" i="1"/>
  <c r="C919" i="1"/>
  <c r="H918" i="1"/>
  <c r="E918" i="1"/>
  <c r="C918" i="1"/>
  <c r="H917" i="1"/>
  <c r="E917" i="1"/>
  <c r="C917" i="1"/>
  <c r="H916" i="1"/>
  <c r="E916" i="1"/>
  <c r="C916" i="1"/>
  <c r="H915" i="1"/>
  <c r="E915" i="1"/>
  <c r="C915" i="1"/>
  <c r="H914" i="1"/>
  <c r="E914" i="1"/>
  <c r="C914" i="1"/>
  <c r="H913" i="1"/>
  <c r="E913" i="1"/>
  <c r="C913" i="1"/>
  <c r="H912" i="1"/>
  <c r="E912" i="1"/>
  <c r="C912" i="1"/>
  <c r="H911" i="1"/>
  <c r="E911" i="1"/>
  <c r="C911" i="1"/>
  <c r="H910" i="1"/>
  <c r="E910" i="1"/>
  <c r="C910" i="1"/>
  <c r="H909" i="1"/>
  <c r="E909" i="1"/>
  <c r="C909" i="1"/>
  <c r="H908" i="1"/>
  <c r="E908" i="1"/>
  <c r="C908" i="1"/>
  <c r="H907" i="1"/>
  <c r="E907" i="1"/>
  <c r="C907" i="1"/>
  <c r="H906" i="1"/>
  <c r="E906" i="1"/>
  <c r="C906" i="1"/>
  <c r="H905" i="1"/>
  <c r="E905" i="1"/>
  <c r="C905" i="1"/>
  <c r="H904" i="1"/>
  <c r="E904" i="1"/>
  <c r="C904" i="1"/>
  <c r="H903" i="1"/>
  <c r="E903" i="1"/>
  <c r="C903" i="1"/>
  <c r="H902" i="1"/>
  <c r="E902" i="1"/>
  <c r="C902" i="1"/>
  <c r="H901" i="1"/>
  <c r="E901" i="1"/>
  <c r="C901" i="1"/>
  <c r="H900" i="1"/>
  <c r="E900" i="1"/>
  <c r="C900" i="1"/>
  <c r="H899" i="1"/>
  <c r="E899" i="1"/>
  <c r="C899" i="1"/>
  <c r="H898" i="1"/>
  <c r="E898" i="1"/>
  <c r="C898" i="1"/>
  <c r="H897" i="1"/>
  <c r="E897" i="1"/>
  <c r="C897" i="1"/>
  <c r="H896" i="1"/>
  <c r="E896" i="1"/>
  <c r="C896" i="1"/>
  <c r="H895" i="1"/>
  <c r="E895" i="1"/>
  <c r="C895" i="1"/>
  <c r="H894" i="1"/>
  <c r="E894" i="1"/>
  <c r="C894" i="1"/>
  <c r="H893" i="1"/>
  <c r="E893" i="1"/>
  <c r="C893" i="1"/>
  <c r="H892" i="1"/>
  <c r="E892" i="1"/>
  <c r="C892" i="1"/>
  <c r="H891" i="1"/>
  <c r="E891" i="1"/>
  <c r="C891" i="1"/>
  <c r="H890" i="1"/>
  <c r="E890" i="1"/>
  <c r="C890" i="1"/>
  <c r="H889" i="1"/>
  <c r="E889" i="1"/>
  <c r="C889" i="1"/>
  <c r="H888" i="1"/>
  <c r="E888" i="1"/>
  <c r="C888" i="1"/>
  <c r="H887" i="1"/>
  <c r="E887" i="1"/>
  <c r="C887" i="1"/>
  <c r="H886" i="1"/>
  <c r="E886" i="1"/>
  <c r="C886" i="1"/>
  <c r="H885" i="1"/>
  <c r="E885" i="1"/>
  <c r="C885" i="1"/>
  <c r="H884" i="1"/>
  <c r="E884" i="1"/>
  <c r="C884" i="1"/>
  <c r="H883" i="1"/>
  <c r="E883" i="1"/>
  <c r="C883" i="1"/>
  <c r="H882" i="1"/>
  <c r="E882" i="1"/>
  <c r="C882" i="1"/>
  <c r="H881" i="1"/>
  <c r="E881" i="1"/>
  <c r="C881" i="1"/>
  <c r="H880" i="1"/>
  <c r="E880" i="1"/>
  <c r="C880" i="1"/>
  <c r="H879" i="1"/>
  <c r="E879" i="1"/>
  <c r="C879" i="1"/>
  <c r="H878" i="1"/>
  <c r="E878" i="1"/>
  <c r="C878" i="1"/>
  <c r="H877" i="1"/>
  <c r="E877" i="1"/>
  <c r="C877" i="1"/>
  <c r="H876" i="1"/>
  <c r="E876" i="1"/>
  <c r="C876" i="1"/>
  <c r="H875" i="1"/>
  <c r="E875" i="1"/>
  <c r="C875" i="1"/>
  <c r="H874" i="1"/>
  <c r="E874" i="1"/>
  <c r="C874" i="1"/>
  <c r="H873" i="1"/>
  <c r="E873" i="1"/>
  <c r="C873" i="1"/>
  <c r="H872" i="1"/>
  <c r="E872" i="1"/>
  <c r="C872" i="1"/>
  <c r="H871" i="1"/>
  <c r="E871" i="1"/>
  <c r="C871" i="1"/>
  <c r="H870" i="1"/>
  <c r="E870" i="1"/>
  <c r="C870" i="1"/>
  <c r="H869" i="1"/>
  <c r="E869" i="1"/>
  <c r="C869" i="1"/>
  <c r="H868" i="1"/>
  <c r="E868" i="1"/>
  <c r="C868" i="1"/>
  <c r="H867" i="1"/>
  <c r="E867" i="1"/>
  <c r="C867" i="1"/>
  <c r="H866" i="1"/>
  <c r="E866" i="1"/>
  <c r="C866" i="1"/>
  <c r="H865" i="1"/>
  <c r="E865" i="1"/>
  <c r="C865" i="1"/>
  <c r="H864" i="1"/>
  <c r="E864" i="1"/>
  <c r="C864" i="1"/>
  <c r="H863" i="1"/>
  <c r="E863" i="1"/>
  <c r="C863" i="1"/>
  <c r="H862" i="1"/>
  <c r="E862" i="1"/>
  <c r="C862" i="1"/>
  <c r="H861" i="1"/>
  <c r="E861" i="1"/>
  <c r="C861" i="1"/>
  <c r="H860" i="1"/>
  <c r="E860" i="1"/>
  <c r="C860" i="1"/>
  <c r="H859" i="1"/>
  <c r="E859" i="1"/>
  <c r="C859" i="1"/>
  <c r="H858" i="1"/>
  <c r="E858" i="1"/>
  <c r="C858" i="1"/>
  <c r="H857" i="1"/>
  <c r="E857" i="1"/>
  <c r="C857" i="1"/>
  <c r="H856" i="1"/>
  <c r="E856" i="1"/>
  <c r="C856" i="1"/>
  <c r="H855" i="1"/>
  <c r="E855" i="1"/>
  <c r="C855" i="1"/>
  <c r="H854" i="1"/>
  <c r="E854" i="1"/>
  <c r="C854" i="1"/>
  <c r="H853" i="1"/>
  <c r="E853" i="1"/>
  <c r="C853" i="1"/>
  <c r="H852" i="1"/>
  <c r="E852" i="1"/>
  <c r="C852" i="1"/>
  <c r="H851" i="1"/>
  <c r="E851" i="1"/>
  <c r="C851" i="1"/>
  <c r="H850" i="1"/>
  <c r="E850" i="1"/>
  <c r="C850" i="1"/>
  <c r="H849" i="1"/>
  <c r="E849" i="1"/>
  <c r="C849" i="1"/>
  <c r="H848" i="1"/>
  <c r="E848" i="1"/>
  <c r="C848" i="1"/>
  <c r="H847" i="1"/>
  <c r="E847" i="1"/>
  <c r="C847" i="1"/>
  <c r="H846" i="1"/>
  <c r="E846" i="1"/>
  <c r="C846" i="1"/>
  <c r="H845" i="1"/>
  <c r="E845" i="1"/>
  <c r="C845" i="1"/>
  <c r="H844" i="1"/>
  <c r="E844" i="1"/>
  <c r="C844" i="1"/>
  <c r="H843" i="1"/>
  <c r="E843" i="1"/>
  <c r="C843" i="1"/>
  <c r="H842" i="1"/>
  <c r="E842" i="1"/>
  <c r="C842" i="1"/>
  <c r="H841" i="1"/>
  <c r="E841" i="1"/>
  <c r="C841" i="1"/>
  <c r="H840" i="1"/>
  <c r="E840" i="1"/>
  <c r="C840" i="1"/>
  <c r="H839" i="1"/>
  <c r="E839" i="1"/>
  <c r="C839" i="1"/>
  <c r="H838" i="1"/>
  <c r="E838" i="1"/>
  <c r="C838" i="1"/>
  <c r="H837" i="1"/>
  <c r="E837" i="1"/>
  <c r="C837" i="1"/>
  <c r="H836" i="1"/>
  <c r="E836" i="1"/>
  <c r="C836" i="1"/>
  <c r="H835" i="1"/>
  <c r="E835" i="1"/>
  <c r="C835" i="1"/>
  <c r="H834" i="1"/>
  <c r="E834" i="1"/>
  <c r="C834" i="1"/>
  <c r="H833" i="1"/>
  <c r="E833" i="1"/>
  <c r="C833" i="1"/>
  <c r="H832" i="1"/>
  <c r="E832" i="1"/>
  <c r="C832" i="1"/>
  <c r="H831" i="1"/>
  <c r="E831" i="1"/>
  <c r="C831" i="1"/>
  <c r="H830" i="1"/>
  <c r="E830" i="1"/>
  <c r="C830" i="1"/>
  <c r="H829" i="1"/>
  <c r="E829" i="1"/>
  <c r="C829" i="1"/>
  <c r="H828" i="1"/>
  <c r="E828" i="1"/>
  <c r="C828" i="1"/>
  <c r="H827" i="1"/>
  <c r="E827" i="1"/>
  <c r="C827" i="1"/>
  <c r="H826" i="1"/>
  <c r="E826" i="1"/>
  <c r="C826" i="1"/>
  <c r="H825" i="1"/>
  <c r="E825" i="1"/>
  <c r="C825" i="1"/>
  <c r="H824" i="1"/>
  <c r="E824" i="1"/>
  <c r="C824" i="1"/>
  <c r="H823" i="1"/>
  <c r="E823" i="1"/>
  <c r="C823" i="1"/>
  <c r="H822" i="1"/>
  <c r="E822" i="1"/>
  <c r="C822" i="1"/>
  <c r="H821" i="1"/>
  <c r="E821" i="1"/>
  <c r="C821" i="1"/>
  <c r="H820" i="1"/>
  <c r="E820" i="1"/>
  <c r="C820" i="1"/>
  <c r="H819" i="1"/>
  <c r="E819" i="1"/>
  <c r="C819" i="1"/>
  <c r="H818" i="1"/>
  <c r="E818" i="1"/>
  <c r="C818" i="1"/>
  <c r="H817" i="1"/>
  <c r="E817" i="1"/>
  <c r="C817" i="1"/>
  <c r="H816" i="1"/>
  <c r="E816" i="1"/>
  <c r="C816" i="1"/>
  <c r="H815" i="1"/>
  <c r="E815" i="1"/>
  <c r="C815" i="1"/>
  <c r="H814" i="1"/>
  <c r="E814" i="1"/>
  <c r="C814" i="1"/>
  <c r="H813" i="1"/>
  <c r="E813" i="1"/>
  <c r="C813" i="1"/>
  <c r="H812" i="1"/>
  <c r="E812" i="1"/>
  <c r="C812" i="1"/>
  <c r="H811" i="1"/>
  <c r="E811" i="1"/>
  <c r="C811" i="1"/>
  <c r="H810" i="1"/>
  <c r="E810" i="1"/>
  <c r="C810" i="1"/>
  <c r="H809" i="1"/>
  <c r="E809" i="1"/>
  <c r="C809" i="1"/>
  <c r="H808" i="1"/>
  <c r="E808" i="1"/>
  <c r="C808" i="1"/>
  <c r="H807" i="1"/>
  <c r="E807" i="1"/>
  <c r="C807" i="1"/>
  <c r="H806" i="1"/>
  <c r="E806" i="1"/>
  <c r="C806" i="1"/>
  <c r="H805" i="1"/>
  <c r="E805" i="1"/>
  <c r="C805" i="1"/>
  <c r="H804" i="1"/>
  <c r="E804" i="1"/>
  <c r="C804" i="1"/>
  <c r="H803" i="1"/>
  <c r="E803" i="1"/>
  <c r="C803" i="1"/>
  <c r="H802" i="1"/>
  <c r="E802" i="1"/>
  <c r="C802" i="1"/>
  <c r="H801" i="1"/>
  <c r="E801" i="1"/>
  <c r="C801" i="1"/>
  <c r="H800" i="1"/>
  <c r="E800" i="1"/>
  <c r="C800" i="1"/>
  <c r="H799" i="1"/>
  <c r="E799" i="1"/>
  <c r="C799" i="1"/>
  <c r="H798" i="1"/>
  <c r="E798" i="1"/>
  <c r="C798" i="1"/>
  <c r="H797" i="1"/>
  <c r="E797" i="1"/>
  <c r="C797" i="1"/>
  <c r="H796" i="1"/>
  <c r="E796" i="1"/>
  <c r="C796" i="1"/>
  <c r="H795" i="1"/>
  <c r="E795" i="1"/>
  <c r="C795" i="1"/>
  <c r="H794" i="1"/>
  <c r="E794" i="1"/>
  <c r="C794" i="1"/>
  <c r="H793" i="1"/>
  <c r="E793" i="1"/>
  <c r="C793" i="1"/>
  <c r="H792" i="1"/>
  <c r="E792" i="1"/>
  <c r="C792" i="1"/>
  <c r="H791" i="1"/>
  <c r="E791" i="1"/>
  <c r="C791" i="1"/>
  <c r="H790" i="1"/>
  <c r="E790" i="1"/>
  <c r="C790" i="1"/>
  <c r="H789" i="1"/>
  <c r="E789" i="1"/>
  <c r="C789" i="1"/>
  <c r="H788" i="1"/>
  <c r="E788" i="1"/>
  <c r="C788" i="1"/>
  <c r="H787" i="1"/>
  <c r="E787" i="1"/>
  <c r="C787" i="1"/>
  <c r="H786" i="1"/>
  <c r="E786" i="1"/>
  <c r="C786" i="1"/>
  <c r="H785" i="1"/>
  <c r="E785" i="1"/>
  <c r="C785" i="1"/>
  <c r="H784" i="1"/>
  <c r="E784" i="1"/>
  <c r="C784" i="1"/>
  <c r="H783" i="1"/>
  <c r="E783" i="1"/>
  <c r="C783" i="1"/>
  <c r="H782" i="1"/>
  <c r="E782" i="1"/>
  <c r="C782" i="1"/>
  <c r="H781" i="1"/>
  <c r="E781" i="1"/>
  <c r="C781" i="1"/>
  <c r="H780" i="1"/>
  <c r="E780" i="1"/>
  <c r="C780" i="1"/>
  <c r="H779" i="1"/>
  <c r="E779" i="1"/>
  <c r="C779" i="1"/>
  <c r="H778" i="1"/>
  <c r="E778" i="1"/>
  <c r="C778" i="1"/>
  <c r="H777" i="1"/>
  <c r="E777" i="1"/>
  <c r="C777" i="1"/>
  <c r="H776" i="1"/>
  <c r="E776" i="1"/>
  <c r="C776" i="1"/>
  <c r="H775" i="1"/>
  <c r="E775" i="1"/>
  <c r="C775" i="1"/>
  <c r="H774" i="1"/>
  <c r="E774" i="1"/>
  <c r="C774" i="1"/>
  <c r="H773" i="1"/>
  <c r="E773" i="1"/>
  <c r="C773" i="1"/>
  <c r="H772" i="1"/>
  <c r="E772" i="1"/>
  <c r="C772" i="1"/>
  <c r="H771" i="1"/>
  <c r="E771" i="1"/>
  <c r="C771" i="1"/>
  <c r="H770" i="1"/>
  <c r="E770" i="1"/>
  <c r="C770" i="1"/>
  <c r="H769" i="1"/>
  <c r="E769" i="1"/>
  <c r="C769" i="1"/>
  <c r="H768" i="1"/>
  <c r="E768" i="1"/>
  <c r="C768" i="1"/>
  <c r="H767" i="1"/>
  <c r="E767" i="1"/>
  <c r="C767" i="1"/>
  <c r="H766" i="1"/>
  <c r="E766" i="1"/>
  <c r="C766" i="1"/>
  <c r="H765" i="1"/>
  <c r="E765" i="1"/>
  <c r="C765" i="1"/>
  <c r="H764" i="1"/>
  <c r="E764" i="1"/>
  <c r="C764" i="1"/>
  <c r="H763" i="1"/>
  <c r="E763" i="1"/>
  <c r="C763" i="1"/>
  <c r="H762" i="1"/>
  <c r="E762" i="1"/>
  <c r="C762" i="1"/>
  <c r="H761" i="1"/>
  <c r="E761" i="1"/>
  <c r="C761" i="1"/>
  <c r="H760" i="1"/>
  <c r="E760" i="1"/>
  <c r="C760" i="1"/>
  <c r="H759" i="1"/>
  <c r="E759" i="1"/>
  <c r="C759" i="1"/>
  <c r="H758" i="1"/>
  <c r="E758" i="1"/>
  <c r="C758" i="1"/>
  <c r="H757" i="1"/>
  <c r="E757" i="1"/>
  <c r="C757" i="1"/>
  <c r="H756" i="1"/>
  <c r="E756" i="1"/>
  <c r="C756" i="1"/>
  <c r="H755" i="1"/>
  <c r="E755" i="1"/>
  <c r="C755" i="1"/>
  <c r="H754" i="1"/>
  <c r="E754" i="1"/>
  <c r="C754" i="1"/>
  <c r="H753" i="1"/>
  <c r="E753" i="1"/>
  <c r="C753" i="1"/>
  <c r="H752" i="1"/>
  <c r="E752" i="1"/>
  <c r="C752" i="1"/>
  <c r="H751" i="1"/>
  <c r="E751" i="1"/>
  <c r="C751" i="1"/>
  <c r="H750" i="1"/>
  <c r="E750" i="1"/>
  <c r="C750" i="1"/>
  <c r="H749" i="1"/>
  <c r="E749" i="1"/>
  <c r="C749" i="1"/>
  <c r="H748" i="1"/>
  <c r="E748" i="1"/>
  <c r="C748" i="1"/>
  <c r="H747" i="1"/>
  <c r="E747" i="1"/>
  <c r="C747" i="1"/>
  <c r="H746" i="1"/>
  <c r="E746" i="1"/>
  <c r="C746" i="1"/>
  <c r="H745" i="1"/>
  <c r="E745" i="1"/>
  <c r="C745" i="1"/>
  <c r="H744" i="1"/>
  <c r="E744" i="1"/>
  <c r="C744" i="1"/>
  <c r="H743" i="1"/>
  <c r="E743" i="1"/>
  <c r="C743" i="1"/>
  <c r="H742" i="1"/>
  <c r="E742" i="1"/>
  <c r="C742" i="1"/>
  <c r="H741" i="1"/>
  <c r="E741" i="1"/>
  <c r="C741" i="1"/>
  <c r="H740" i="1"/>
  <c r="E740" i="1"/>
  <c r="C740" i="1"/>
  <c r="H739" i="1"/>
  <c r="E739" i="1"/>
  <c r="C739" i="1"/>
  <c r="H738" i="1"/>
  <c r="E738" i="1"/>
  <c r="C738" i="1"/>
  <c r="H737" i="1"/>
  <c r="E737" i="1"/>
  <c r="C737" i="1"/>
  <c r="H736" i="1"/>
  <c r="E736" i="1"/>
  <c r="C736" i="1"/>
  <c r="H735" i="1"/>
  <c r="E735" i="1"/>
  <c r="C735" i="1"/>
  <c r="H734" i="1"/>
  <c r="E734" i="1"/>
  <c r="C734" i="1"/>
  <c r="H733" i="1"/>
  <c r="E733" i="1"/>
  <c r="C733" i="1"/>
  <c r="H732" i="1"/>
  <c r="E732" i="1"/>
  <c r="C732" i="1"/>
  <c r="H731" i="1"/>
  <c r="E731" i="1"/>
  <c r="C731" i="1"/>
  <c r="H730" i="1"/>
  <c r="E730" i="1"/>
  <c r="C730" i="1"/>
  <c r="H729" i="1"/>
  <c r="E729" i="1"/>
  <c r="C729" i="1"/>
  <c r="H728" i="1"/>
  <c r="E728" i="1"/>
  <c r="C728" i="1"/>
  <c r="H727" i="1"/>
  <c r="E727" i="1"/>
  <c r="C727" i="1"/>
  <c r="H726" i="1"/>
  <c r="E726" i="1"/>
  <c r="C726" i="1"/>
  <c r="H725" i="1"/>
  <c r="E725" i="1"/>
  <c r="C725" i="1"/>
  <c r="H724" i="1"/>
  <c r="E724" i="1"/>
  <c r="C724" i="1"/>
  <c r="H723" i="1"/>
  <c r="E723" i="1"/>
  <c r="C723" i="1"/>
  <c r="H722" i="1"/>
  <c r="E722" i="1"/>
  <c r="C722" i="1"/>
  <c r="H721" i="1"/>
  <c r="E721" i="1"/>
  <c r="C721" i="1"/>
  <c r="H720" i="1"/>
  <c r="E720" i="1"/>
  <c r="C720" i="1"/>
  <c r="H719" i="1"/>
  <c r="E719" i="1"/>
  <c r="C719" i="1"/>
  <c r="H718" i="1"/>
  <c r="E718" i="1"/>
  <c r="C718" i="1"/>
  <c r="H717" i="1"/>
  <c r="E717" i="1"/>
  <c r="C717" i="1"/>
  <c r="H716" i="1"/>
  <c r="E716" i="1"/>
  <c r="C716" i="1"/>
  <c r="H715" i="1"/>
  <c r="E715" i="1"/>
  <c r="C715" i="1"/>
  <c r="H714" i="1"/>
  <c r="E714" i="1"/>
  <c r="C714" i="1"/>
  <c r="H713" i="1"/>
  <c r="E713" i="1"/>
  <c r="C713" i="1"/>
  <c r="H712" i="1"/>
  <c r="E712" i="1"/>
  <c r="C712" i="1"/>
  <c r="H711" i="1"/>
  <c r="E711" i="1"/>
  <c r="C711" i="1"/>
  <c r="H710" i="1"/>
  <c r="E710" i="1"/>
  <c r="C710" i="1"/>
  <c r="H709" i="1"/>
  <c r="E709" i="1"/>
  <c r="C709" i="1"/>
  <c r="H708" i="1"/>
  <c r="E708" i="1"/>
  <c r="C708" i="1"/>
  <c r="H707" i="1"/>
  <c r="E707" i="1"/>
  <c r="C707" i="1"/>
  <c r="H706" i="1"/>
  <c r="E706" i="1"/>
  <c r="C706" i="1"/>
  <c r="H705" i="1"/>
  <c r="E705" i="1"/>
  <c r="C705" i="1"/>
  <c r="H704" i="1"/>
  <c r="E704" i="1"/>
  <c r="C704" i="1"/>
  <c r="H703" i="1"/>
  <c r="E703" i="1"/>
  <c r="C703" i="1"/>
  <c r="H702" i="1"/>
  <c r="E702" i="1"/>
  <c r="C702" i="1"/>
  <c r="H701" i="1"/>
  <c r="E701" i="1"/>
  <c r="C701" i="1"/>
  <c r="H700" i="1"/>
  <c r="E700" i="1"/>
  <c r="C700" i="1"/>
  <c r="H699" i="1"/>
  <c r="E699" i="1"/>
  <c r="C699" i="1"/>
  <c r="H698" i="1"/>
  <c r="E698" i="1"/>
  <c r="C698" i="1"/>
  <c r="H697" i="1"/>
  <c r="E697" i="1"/>
  <c r="C697" i="1"/>
  <c r="H696" i="1"/>
  <c r="E696" i="1"/>
  <c r="C696" i="1"/>
  <c r="H695" i="1"/>
  <c r="E695" i="1"/>
  <c r="C695" i="1"/>
  <c r="H694" i="1"/>
  <c r="E694" i="1"/>
  <c r="C694" i="1"/>
  <c r="H693" i="1"/>
  <c r="E693" i="1"/>
  <c r="C693" i="1"/>
  <c r="H692" i="1"/>
  <c r="E692" i="1"/>
  <c r="C692" i="1"/>
  <c r="H691" i="1"/>
  <c r="E691" i="1"/>
  <c r="C691" i="1"/>
  <c r="H690" i="1"/>
  <c r="E690" i="1"/>
  <c r="C690" i="1"/>
  <c r="H689" i="1"/>
  <c r="E689" i="1"/>
  <c r="C689" i="1"/>
  <c r="H688" i="1"/>
  <c r="E688" i="1"/>
  <c r="C688" i="1"/>
  <c r="H687" i="1"/>
  <c r="E687" i="1"/>
  <c r="C687" i="1"/>
  <c r="H686" i="1"/>
  <c r="E686" i="1"/>
  <c r="C686" i="1"/>
  <c r="H685" i="1"/>
  <c r="E685" i="1"/>
  <c r="C685" i="1"/>
  <c r="H684" i="1"/>
  <c r="E684" i="1"/>
  <c r="C684" i="1"/>
  <c r="H683" i="1"/>
  <c r="E683" i="1"/>
  <c r="C683" i="1"/>
  <c r="H682" i="1"/>
  <c r="E682" i="1"/>
  <c r="C682" i="1"/>
  <c r="H681" i="1"/>
  <c r="E681" i="1"/>
  <c r="C681" i="1"/>
  <c r="H680" i="1"/>
  <c r="E680" i="1"/>
  <c r="C680" i="1"/>
  <c r="H679" i="1"/>
  <c r="E679" i="1"/>
  <c r="C679" i="1"/>
  <c r="H678" i="1"/>
  <c r="E678" i="1"/>
  <c r="C678" i="1"/>
  <c r="H677" i="1"/>
  <c r="E677" i="1"/>
  <c r="C677" i="1"/>
  <c r="H676" i="1"/>
  <c r="E676" i="1"/>
  <c r="C676" i="1"/>
  <c r="H675" i="1"/>
  <c r="E675" i="1"/>
  <c r="C675" i="1"/>
  <c r="H674" i="1"/>
  <c r="E674" i="1"/>
  <c r="C674" i="1"/>
  <c r="H673" i="1"/>
  <c r="E673" i="1"/>
  <c r="C673" i="1"/>
  <c r="H672" i="1"/>
  <c r="E672" i="1"/>
  <c r="C672" i="1"/>
  <c r="H671" i="1"/>
  <c r="E671" i="1"/>
  <c r="C671" i="1"/>
  <c r="H670" i="1"/>
  <c r="E670" i="1"/>
  <c r="C670" i="1"/>
  <c r="H669" i="1"/>
  <c r="E669" i="1"/>
  <c r="C669" i="1"/>
  <c r="H668" i="1"/>
  <c r="E668" i="1"/>
  <c r="C668" i="1"/>
  <c r="H667" i="1"/>
  <c r="E667" i="1"/>
  <c r="C667" i="1"/>
  <c r="H666" i="1"/>
  <c r="E666" i="1"/>
  <c r="C666" i="1"/>
  <c r="H665" i="1"/>
  <c r="E665" i="1"/>
  <c r="C665" i="1"/>
  <c r="H664" i="1"/>
  <c r="E664" i="1"/>
  <c r="C664" i="1"/>
  <c r="H663" i="1"/>
  <c r="E663" i="1"/>
  <c r="C663" i="1"/>
  <c r="H662" i="1"/>
  <c r="E662" i="1"/>
  <c r="C662" i="1"/>
  <c r="H661" i="1"/>
  <c r="E661" i="1"/>
  <c r="C661" i="1"/>
  <c r="H660" i="1"/>
  <c r="E660" i="1"/>
  <c r="C660" i="1"/>
  <c r="H659" i="1"/>
  <c r="E659" i="1"/>
  <c r="C659" i="1"/>
  <c r="H658" i="1"/>
  <c r="E658" i="1"/>
  <c r="C658" i="1"/>
  <c r="H657" i="1"/>
  <c r="E657" i="1"/>
  <c r="C657" i="1"/>
  <c r="H656" i="1"/>
  <c r="E656" i="1"/>
  <c r="C656" i="1"/>
  <c r="H655" i="1"/>
  <c r="E655" i="1"/>
  <c r="C655" i="1"/>
  <c r="H654" i="1"/>
  <c r="E654" i="1"/>
  <c r="C654" i="1"/>
  <c r="H653" i="1"/>
  <c r="E653" i="1"/>
  <c r="C653" i="1"/>
  <c r="H652" i="1"/>
  <c r="E652" i="1"/>
  <c r="C652" i="1"/>
  <c r="H651" i="1"/>
  <c r="E651" i="1"/>
  <c r="C651" i="1"/>
  <c r="H650" i="1"/>
  <c r="E650" i="1"/>
  <c r="C650" i="1"/>
  <c r="H649" i="1"/>
  <c r="E649" i="1"/>
  <c r="C649" i="1"/>
  <c r="H648" i="1"/>
  <c r="E648" i="1"/>
  <c r="C648" i="1"/>
  <c r="H647" i="1"/>
  <c r="E647" i="1"/>
  <c r="C647" i="1"/>
  <c r="H646" i="1"/>
  <c r="E646" i="1"/>
  <c r="C646" i="1"/>
  <c r="H645" i="1"/>
  <c r="E645" i="1"/>
  <c r="C645" i="1"/>
  <c r="H644" i="1"/>
  <c r="E644" i="1"/>
  <c r="C644" i="1"/>
  <c r="H643" i="1"/>
  <c r="E643" i="1"/>
  <c r="C643" i="1"/>
  <c r="H642" i="1"/>
  <c r="E642" i="1"/>
  <c r="C642" i="1"/>
  <c r="H641" i="1"/>
  <c r="E641" i="1"/>
  <c r="C641" i="1"/>
  <c r="H640" i="1"/>
  <c r="E640" i="1"/>
  <c r="C640" i="1"/>
  <c r="H639" i="1"/>
  <c r="E639" i="1"/>
  <c r="C639" i="1"/>
  <c r="H638" i="1"/>
  <c r="E638" i="1"/>
  <c r="C638" i="1"/>
  <c r="H637" i="1"/>
  <c r="E637" i="1"/>
  <c r="C637" i="1"/>
  <c r="H636" i="1"/>
  <c r="E636" i="1"/>
  <c r="C636" i="1"/>
  <c r="H635" i="1"/>
  <c r="E635" i="1"/>
  <c r="C635" i="1"/>
  <c r="H634" i="1"/>
  <c r="E634" i="1"/>
  <c r="C634" i="1"/>
  <c r="H633" i="1"/>
  <c r="E633" i="1"/>
  <c r="C633" i="1"/>
  <c r="H632" i="1"/>
  <c r="E632" i="1"/>
  <c r="C632" i="1"/>
  <c r="H631" i="1"/>
  <c r="E631" i="1"/>
  <c r="C631" i="1"/>
  <c r="H630" i="1"/>
  <c r="E630" i="1"/>
  <c r="C630" i="1"/>
  <c r="H629" i="1"/>
  <c r="E629" i="1"/>
  <c r="C629" i="1"/>
  <c r="H628" i="1"/>
  <c r="E628" i="1"/>
  <c r="C628" i="1"/>
  <c r="H627" i="1"/>
  <c r="E627" i="1"/>
  <c r="C627" i="1"/>
  <c r="H626" i="1"/>
  <c r="E626" i="1"/>
  <c r="C626" i="1"/>
  <c r="H625" i="1"/>
  <c r="E625" i="1"/>
  <c r="C625" i="1"/>
  <c r="H624" i="1"/>
  <c r="E624" i="1"/>
  <c r="C624" i="1"/>
  <c r="H623" i="1"/>
  <c r="E623" i="1"/>
  <c r="C623" i="1"/>
  <c r="H622" i="1"/>
  <c r="E622" i="1"/>
  <c r="C622" i="1"/>
  <c r="H621" i="1"/>
  <c r="E621" i="1"/>
  <c r="C621" i="1"/>
  <c r="H620" i="1"/>
  <c r="E620" i="1"/>
  <c r="C620" i="1"/>
  <c r="H619" i="1"/>
  <c r="E619" i="1"/>
  <c r="C619" i="1"/>
  <c r="H618" i="1"/>
  <c r="E618" i="1"/>
  <c r="C618" i="1"/>
  <c r="H617" i="1"/>
  <c r="E617" i="1"/>
  <c r="C617" i="1"/>
  <c r="H616" i="1"/>
  <c r="E616" i="1"/>
  <c r="C616" i="1"/>
  <c r="H615" i="1"/>
  <c r="E615" i="1"/>
  <c r="C615" i="1"/>
  <c r="H614" i="1"/>
  <c r="E614" i="1"/>
  <c r="C614" i="1"/>
  <c r="H613" i="1"/>
  <c r="E613" i="1"/>
  <c r="C613" i="1"/>
  <c r="H612" i="1"/>
  <c r="E612" i="1"/>
  <c r="C612" i="1"/>
  <c r="H611" i="1"/>
  <c r="E611" i="1"/>
  <c r="C611" i="1"/>
  <c r="H610" i="1"/>
  <c r="E610" i="1"/>
  <c r="C610" i="1"/>
  <c r="H609" i="1"/>
  <c r="E609" i="1"/>
  <c r="C609" i="1"/>
  <c r="H608" i="1"/>
  <c r="E608" i="1"/>
  <c r="C608" i="1"/>
  <c r="H607" i="1"/>
  <c r="E607" i="1"/>
  <c r="C607" i="1"/>
  <c r="H606" i="1"/>
  <c r="E606" i="1"/>
  <c r="C606" i="1"/>
  <c r="H605" i="1"/>
  <c r="E605" i="1"/>
  <c r="C605" i="1"/>
  <c r="H604" i="1"/>
  <c r="E604" i="1"/>
  <c r="C604" i="1"/>
  <c r="H603" i="1"/>
  <c r="E603" i="1"/>
  <c r="C603" i="1"/>
  <c r="H602" i="1"/>
  <c r="E602" i="1"/>
  <c r="C602" i="1"/>
  <c r="H601" i="1"/>
  <c r="E601" i="1"/>
  <c r="C601" i="1"/>
  <c r="H600" i="1"/>
  <c r="E600" i="1"/>
  <c r="C600" i="1"/>
  <c r="H599" i="1"/>
  <c r="E599" i="1"/>
  <c r="C599" i="1"/>
  <c r="H598" i="1"/>
  <c r="E598" i="1"/>
  <c r="C598" i="1"/>
  <c r="H597" i="1"/>
  <c r="E597" i="1"/>
  <c r="C597" i="1"/>
  <c r="H596" i="1"/>
  <c r="E596" i="1"/>
  <c r="C596" i="1"/>
  <c r="H595" i="1"/>
  <c r="E595" i="1"/>
  <c r="C595" i="1"/>
  <c r="H594" i="1"/>
  <c r="E594" i="1"/>
  <c r="C594" i="1"/>
  <c r="H593" i="1"/>
  <c r="E593" i="1"/>
  <c r="C593" i="1"/>
  <c r="H592" i="1"/>
  <c r="E592" i="1"/>
  <c r="C592" i="1"/>
  <c r="H591" i="1"/>
  <c r="E591" i="1"/>
  <c r="C591" i="1"/>
  <c r="H590" i="1"/>
  <c r="E590" i="1"/>
  <c r="C590" i="1"/>
  <c r="H589" i="1"/>
  <c r="E589" i="1"/>
  <c r="C589" i="1"/>
  <c r="H588" i="1"/>
  <c r="E588" i="1"/>
  <c r="C588" i="1"/>
  <c r="H587" i="1"/>
  <c r="E587" i="1"/>
  <c r="C587" i="1"/>
  <c r="H586" i="1"/>
  <c r="E586" i="1"/>
  <c r="C586" i="1"/>
  <c r="H585" i="1"/>
  <c r="E585" i="1"/>
  <c r="C585" i="1"/>
  <c r="H584" i="1"/>
  <c r="E584" i="1"/>
  <c r="C584" i="1"/>
  <c r="H583" i="1"/>
  <c r="E583" i="1"/>
  <c r="C583" i="1"/>
  <c r="H582" i="1"/>
  <c r="E582" i="1"/>
  <c r="C582" i="1"/>
  <c r="H581" i="1"/>
  <c r="E581" i="1"/>
  <c r="C581" i="1"/>
  <c r="H580" i="1"/>
  <c r="E580" i="1"/>
  <c r="C580" i="1"/>
  <c r="H579" i="1"/>
  <c r="E579" i="1"/>
  <c r="C579" i="1"/>
  <c r="H578" i="1"/>
  <c r="E578" i="1"/>
  <c r="C578" i="1"/>
  <c r="H577" i="1"/>
  <c r="E577" i="1"/>
  <c r="C577" i="1"/>
  <c r="H576" i="1"/>
  <c r="E576" i="1"/>
  <c r="C576" i="1"/>
  <c r="H575" i="1"/>
  <c r="E575" i="1"/>
  <c r="C575" i="1"/>
  <c r="H574" i="1"/>
  <c r="E574" i="1"/>
  <c r="C574" i="1"/>
  <c r="H573" i="1"/>
  <c r="E573" i="1"/>
  <c r="C573" i="1"/>
  <c r="H572" i="1"/>
  <c r="E572" i="1"/>
  <c r="C572" i="1"/>
  <c r="H571" i="1"/>
  <c r="E571" i="1"/>
  <c r="C571" i="1"/>
  <c r="H570" i="1"/>
  <c r="E570" i="1"/>
  <c r="C570" i="1"/>
  <c r="H569" i="1"/>
  <c r="E569" i="1"/>
  <c r="C569" i="1"/>
  <c r="H568" i="1"/>
  <c r="E568" i="1"/>
  <c r="C568" i="1"/>
  <c r="H567" i="1"/>
  <c r="E567" i="1"/>
  <c r="C567" i="1"/>
  <c r="H566" i="1"/>
  <c r="E566" i="1"/>
  <c r="C566" i="1"/>
  <c r="H565" i="1"/>
  <c r="E565" i="1"/>
  <c r="C565" i="1"/>
  <c r="H564" i="1"/>
  <c r="E564" i="1"/>
  <c r="C564" i="1"/>
  <c r="H563" i="1"/>
  <c r="E563" i="1"/>
  <c r="C563" i="1"/>
  <c r="H562" i="1"/>
  <c r="E562" i="1"/>
  <c r="C562" i="1"/>
  <c r="H561" i="1"/>
  <c r="E561" i="1"/>
  <c r="C561" i="1"/>
  <c r="H560" i="1"/>
  <c r="E560" i="1"/>
  <c r="C560" i="1"/>
  <c r="H559" i="1"/>
  <c r="E559" i="1"/>
  <c r="C559" i="1"/>
  <c r="H558" i="1"/>
  <c r="E558" i="1"/>
  <c r="C558" i="1"/>
  <c r="H557" i="1"/>
  <c r="E557" i="1"/>
  <c r="C557" i="1"/>
  <c r="H556" i="1"/>
  <c r="E556" i="1"/>
  <c r="C556" i="1"/>
  <c r="H555" i="1"/>
  <c r="E555" i="1"/>
  <c r="C555" i="1"/>
  <c r="H554" i="1"/>
  <c r="E554" i="1"/>
  <c r="C554" i="1"/>
  <c r="H553" i="1"/>
  <c r="E553" i="1"/>
  <c r="C553" i="1"/>
  <c r="H552" i="1"/>
  <c r="E552" i="1"/>
  <c r="C552" i="1"/>
  <c r="H551" i="1"/>
  <c r="E551" i="1"/>
  <c r="C551" i="1"/>
  <c r="H550" i="1"/>
  <c r="E550" i="1"/>
  <c r="C550" i="1"/>
  <c r="H549" i="1"/>
  <c r="E549" i="1"/>
  <c r="C549" i="1"/>
  <c r="H548" i="1"/>
  <c r="E548" i="1"/>
  <c r="C548" i="1"/>
  <c r="H547" i="1"/>
  <c r="E547" i="1"/>
  <c r="C547" i="1"/>
  <c r="H546" i="1"/>
  <c r="E546" i="1"/>
  <c r="C546" i="1"/>
  <c r="H545" i="1"/>
  <c r="E545" i="1"/>
  <c r="C545" i="1"/>
  <c r="H544" i="1"/>
  <c r="E544" i="1"/>
  <c r="C544" i="1"/>
  <c r="H543" i="1"/>
  <c r="E543" i="1"/>
  <c r="C543" i="1"/>
  <c r="H542" i="1"/>
  <c r="E542" i="1"/>
  <c r="C542" i="1"/>
  <c r="H541" i="1"/>
  <c r="E541" i="1"/>
  <c r="C541" i="1"/>
  <c r="H540" i="1"/>
  <c r="E540" i="1"/>
  <c r="C540" i="1"/>
  <c r="H539" i="1"/>
  <c r="E539" i="1"/>
  <c r="C539" i="1"/>
  <c r="H538" i="1"/>
  <c r="E538" i="1"/>
  <c r="C538" i="1"/>
  <c r="H537" i="1"/>
  <c r="E537" i="1"/>
  <c r="C537" i="1"/>
  <c r="H536" i="1"/>
  <c r="E536" i="1"/>
  <c r="C536" i="1"/>
  <c r="H535" i="1"/>
  <c r="E535" i="1"/>
  <c r="C535" i="1"/>
  <c r="H534" i="1"/>
  <c r="E534" i="1"/>
  <c r="C534" i="1"/>
  <c r="H533" i="1"/>
  <c r="E533" i="1"/>
  <c r="C533" i="1"/>
  <c r="H532" i="1"/>
  <c r="E532" i="1"/>
  <c r="C532" i="1"/>
  <c r="H531" i="1"/>
  <c r="E531" i="1"/>
  <c r="C531" i="1"/>
  <c r="H530" i="1"/>
  <c r="E530" i="1"/>
  <c r="C530" i="1"/>
  <c r="H529" i="1"/>
  <c r="E529" i="1"/>
  <c r="C529" i="1"/>
  <c r="H528" i="1"/>
  <c r="E528" i="1"/>
  <c r="C528" i="1"/>
  <c r="H527" i="1"/>
  <c r="E527" i="1"/>
  <c r="C527" i="1"/>
  <c r="H526" i="1"/>
  <c r="E526" i="1"/>
  <c r="C526" i="1"/>
  <c r="H525" i="1"/>
  <c r="E525" i="1"/>
  <c r="C525" i="1"/>
  <c r="H524" i="1"/>
  <c r="E524" i="1"/>
  <c r="C524" i="1"/>
  <c r="H523" i="1"/>
  <c r="E523" i="1"/>
  <c r="C523" i="1"/>
  <c r="H522" i="1"/>
  <c r="E522" i="1"/>
  <c r="C522" i="1"/>
  <c r="H521" i="1"/>
  <c r="E521" i="1"/>
  <c r="C521" i="1"/>
  <c r="H520" i="1"/>
  <c r="E520" i="1"/>
  <c r="C520" i="1"/>
  <c r="H519" i="1"/>
  <c r="E519" i="1"/>
  <c r="C519" i="1"/>
  <c r="H518" i="1"/>
  <c r="E518" i="1"/>
  <c r="C518" i="1"/>
  <c r="H517" i="1"/>
  <c r="E517" i="1"/>
  <c r="C517" i="1"/>
  <c r="H516" i="1"/>
  <c r="E516" i="1"/>
  <c r="C516" i="1"/>
  <c r="H515" i="1"/>
  <c r="E515" i="1"/>
  <c r="C515" i="1"/>
  <c r="H514" i="1"/>
  <c r="E514" i="1"/>
  <c r="C514" i="1"/>
  <c r="H513" i="1"/>
  <c r="E513" i="1"/>
  <c r="C513" i="1"/>
  <c r="H512" i="1"/>
  <c r="E512" i="1"/>
  <c r="C512" i="1"/>
  <c r="H511" i="1"/>
  <c r="E511" i="1"/>
  <c r="C511" i="1"/>
  <c r="H510" i="1"/>
  <c r="E510" i="1"/>
  <c r="C510" i="1"/>
  <c r="H509" i="1"/>
  <c r="E509" i="1"/>
  <c r="C509" i="1"/>
  <c r="H508" i="1"/>
  <c r="E508" i="1"/>
  <c r="C508" i="1"/>
  <c r="H507" i="1"/>
  <c r="E507" i="1"/>
  <c r="C507" i="1"/>
  <c r="H506" i="1"/>
  <c r="E506" i="1"/>
  <c r="C506" i="1"/>
  <c r="H505" i="1"/>
  <c r="E505" i="1"/>
  <c r="C505" i="1"/>
  <c r="H504" i="1"/>
  <c r="E504" i="1"/>
  <c r="C504" i="1"/>
  <c r="H503" i="1"/>
  <c r="E503" i="1"/>
  <c r="C503" i="1"/>
  <c r="H502" i="1"/>
  <c r="E502" i="1"/>
  <c r="C502" i="1"/>
  <c r="H501" i="1"/>
  <c r="E501" i="1"/>
  <c r="C501" i="1"/>
  <c r="H500" i="1"/>
  <c r="E500" i="1"/>
  <c r="C500" i="1"/>
  <c r="H499" i="1"/>
  <c r="E499" i="1"/>
  <c r="C499" i="1"/>
  <c r="H498" i="1"/>
  <c r="E498" i="1"/>
  <c r="C498" i="1"/>
  <c r="H497" i="1"/>
  <c r="E497" i="1"/>
  <c r="C497" i="1"/>
  <c r="H496" i="1"/>
  <c r="E496" i="1"/>
  <c r="C496" i="1"/>
  <c r="H495" i="1"/>
  <c r="E495" i="1"/>
  <c r="C495" i="1"/>
  <c r="H494" i="1"/>
  <c r="E494" i="1"/>
  <c r="C494" i="1"/>
  <c r="H493" i="1"/>
  <c r="E493" i="1"/>
  <c r="C493" i="1"/>
  <c r="H492" i="1"/>
  <c r="E492" i="1"/>
  <c r="C492" i="1"/>
  <c r="H491" i="1"/>
  <c r="E491" i="1"/>
  <c r="C491" i="1"/>
  <c r="H490" i="1"/>
  <c r="E490" i="1"/>
  <c r="C490" i="1"/>
  <c r="H489" i="1"/>
  <c r="E489" i="1"/>
  <c r="C489" i="1"/>
  <c r="H488" i="1"/>
  <c r="E488" i="1"/>
  <c r="C488" i="1"/>
  <c r="H487" i="1"/>
  <c r="E487" i="1"/>
  <c r="C487" i="1"/>
  <c r="H486" i="1"/>
  <c r="E486" i="1"/>
  <c r="C486" i="1"/>
  <c r="H485" i="1"/>
  <c r="E485" i="1"/>
  <c r="C485" i="1"/>
  <c r="H484" i="1"/>
  <c r="E484" i="1"/>
  <c r="C484" i="1"/>
  <c r="H483" i="1"/>
  <c r="E483" i="1"/>
  <c r="C483" i="1"/>
  <c r="H482" i="1"/>
  <c r="E482" i="1"/>
  <c r="C482" i="1"/>
  <c r="H481" i="1"/>
  <c r="E481" i="1"/>
  <c r="C481" i="1"/>
  <c r="H480" i="1"/>
  <c r="E480" i="1"/>
  <c r="C480" i="1"/>
  <c r="H479" i="1"/>
  <c r="E479" i="1"/>
  <c r="C479" i="1"/>
  <c r="H478" i="1"/>
  <c r="E478" i="1"/>
  <c r="C478" i="1"/>
  <c r="H477" i="1"/>
  <c r="E477" i="1"/>
  <c r="C477" i="1"/>
  <c r="H476" i="1"/>
  <c r="E476" i="1"/>
  <c r="C476" i="1"/>
  <c r="H475" i="1"/>
  <c r="E475" i="1"/>
  <c r="C475" i="1"/>
  <c r="H474" i="1"/>
  <c r="E474" i="1"/>
  <c r="C474" i="1"/>
  <c r="H473" i="1"/>
  <c r="E473" i="1"/>
  <c r="C473" i="1"/>
  <c r="H472" i="1"/>
  <c r="E472" i="1"/>
  <c r="C472" i="1"/>
  <c r="H471" i="1"/>
  <c r="E471" i="1"/>
  <c r="C471" i="1"/>
  <c r="H470" i="1"/>
  <c r="E470" i="1"/>
  <c r="C470" i="1"/>
  <c r="H469" i="1"/>
  <c r="E469" i="1"/>
  <c r="C469" i="1"/>
  <c r="H468" i="1"/>
  <c r="E468" i="1"/>
  <c r="C468" i="1"/>
  <c r="H467" i="1"/>
  <c r="E467" i="1"/>
  <c r="C467" i="1"/>
  <c r="H466" i="1"/>
  <c r="E466" i="1"/>
  <c r="C466" i="1"/>
  <c r="H465" i="1"/>
  <c r="E465" i="1"/>
  <c r="C465" i="1"/>
  <c r="H464" i="1"/>
  <c r="E464" i="1"/>
  <c r="C464" i="1"/>
  <c r="H463" i="1"/>
  <c r="E463" i="1"/>
  <c r="C463" i="1"/>
  <c r="H462" i="1"/>
  <c r="E462" i="1"/>
  <c r="C462" i="1"/>
  <c r="H461" i="1"/>
  <c r="E461" i="1"/>
  <c r="C461" i="1"/>
  <c r="H460" i="1"/>
  <c r="E460" i="1"/>
  <c r="C460" i="1"/>
  <c r="H459" i="1"/>
  <c r="E459" i="1"/>
  <c r="C459" i="1"/>
  <c r="H458" i="1"/>
  <c r="E458" i="1"/>
  <c r="C458" i="1"/>
  <c r="H457" i="1"/>
  <c r="E457" i="1"/>
  <c r="C457" i="1"/>
  <c r="H456" i="1"/>
  <c r="E456" i="1"/>
  <c r="C456" i="1"/>
  <c r="H455" i="1"/>
  <c r="E455" i="1"/>
  <c r="C455" i="1"/>
  <c r="H454" i="1"/>
  <c r="E454" i="1"/>
  <c r="C454" i="1"/>
  <c r="H453" i="1"/>
  <c r="E453" i="1"/>
  <c r="C453" i="1"/>
  <c r="H452" i="1"/>
  <c r="E452" i="1"/>
  <c r="C452" i="1"/>
  <c r="H451" i="1"/>
  <c r="E451" i="1"/>
  <c r="C451" i="1"/>
  <c r="H450" i="1"/>
  <c r="E450" i="1"/>
  <c r="C450" i="1"/>
  <c r="H449" i="1"/>
  <c r="E449" i="1"/>
  <c r="C449" i="1"/>
  <c r="H448" i="1"/>
  <c r="E448" i="1"/>
  <c r="C448" i="1"/>
  <c r="H447" i="1"/>
  <c r="E447" i="1"/>
  <c r="C447" i="1"/>
  <c r="H446" i="1"/>
  <c r="E446" i="1"/>
  <c r="C446" i="1"/>
  <c r="H445" i="1"/>
  <c r="E445" i="1"/>
  <c r="C445" i="1"/>
  <c r="H444" i="1"/>
  <c r="E444" i="1"/>
  <c r="C444" i="1"/>
  <c r="H443" i="1"/>
  <c r="E443" i="1"/>
  <c r="C443" i="1"/>
  <c r="H442" i="1"/>
  <c r="E442" i="1"/>
  <c r="C442" i="1"/>
  <c r="H441" i="1"/>
  <c r="E441" i="1"/>
  <c r="C441" i="1"/>
  <c r="H440" i="1"/>
  <c r="E440" i="1"/>
  <c r="C440" i="1"/>
  <c r="H439" i="1"/>
  <c r="E439" i="1"/>
  <c r="C439" i="1"/>
  <c r="H438" i="1"/>
  <c r="E438" i="1"/>
  <c r="C438" i="1"/>
  <c r="H437" i="1"/>
  <c r="E437" i="1"/>
  <c r="C437" i="1"/>
  <c r="H436" i="1"/>
  <c r="E436" i="1"/>
  <c r="C436" i="1"/>
  <c r="H435" i="1"/>
  <c r="E435" i="1"/>
  <c r="C435" i="1"/>
  <c r="H434" i="1"/>
  <c r="E434" i="1"/>
  <c r="C434" i="1"/>
  <c r="H433" i="1"/>
  <c r="E433" i="1"/>
  <c r="C433" i="1"/>
  <c r="H432" i="1"/>
  <c r="E432" i="1"/>
  <c r="C432" i="1"/>
  <c r="H431" i="1"/>
  <c r="E431" i="1"/>
  <c r="C431" i="1"/>
  <c r="H430" i="1"/>
  <c r="E430" i="1"/>
  <c r="C430" i="1"/>
  <c r="H429" i="1"/>
  <c r="E429" i="1"/>
  <c r="C429" i="1"/>
  <c r="H428" i="1"/>
  <c r="E428" i="1"/>
  <c r="C428" i="1"/>
  <c r="H427" i="1"/>
  <c r="E427" i="1"/>
  <c r="C427" i="1"/>
  <c r="H426" i="1"/>
  <c r="E426" i="1"/>
  <c r="C426" i="1"/>
  <c r="H425" i="1"/>
  <c r="E425" i="1"/>
  <c r="C425" i="1"/>
  <c r="H424" i="1"/>
  <c r="E424" i="1"/>
  <c r="C424" i="1"/>
  <c r="H423" i="1"/>
  <c r="E423" i="1"/>
  <c r="C423" i="1"/>
  <c r="H422" i="1"/>
  <c r="E422" i="1"/>
  <c r="C422" i="1"/>
  <c r="H421" i="1"/>
  <c r="E421" i="1"/>
  <c r="C421" i="1"/>
  <c r="H420" i="1"/>
  <c r="E420" i="1"/>
  <c r="C420" i="1"/>
  <c r="H419" i="1"/>
  <c r="E419" i="1"/>
  <c r="C419" i="1"/>
  <c r="H418" i="1"/>
  <c r="E418" i="1"/>
  <c r="C418" i="1"/>
  <c r="H417" i="1"/>
  <c r="E417" i="1"/>
  <c r="C417" i="1"/>
  <c r="H416" i="1"/>
  <c r="E416" i="1"/>
  <c r="C416" i="1"/>
  <c r="H415" i="1"/>
  <c r="E415" i="1"/>
  <c r="C415" i="1"/>
  <c r="H414" i="1"/>
  <c r="E414" i="1"/>
  <c r="C414" i="1"/>
  <c r="H413" i="1"/>
  <c r="E413" i="1"/>
  <c r="C413" i="1"/>
  <c r="H412" i="1"/>
  <c r="E412" i="1"/>
  <c r="C412" i="1"/>
  <c r="H411" i="1"/>
  <c r="E411" i="1"/>
  <c r="C411" i="1"/>
  <c r="H410" i="1"/>
  <c r="E410" i="1"/>
  <c r="C410" i="1"/>
  <c r="H409" i="1"/>
  <c r="E409" i="1"/>
  <c r="C409" i="1"/>
  <c r="H408" i="1"/>
  <c r="E408" i="1"/>
  <c r="C408" i="1"/>
  <c r="H407" i="1"/>
  <c r="E407" i="1"/>
  <c r="C407" i="1"/>
  <c r="H406" i="1"/>
  <c r="E406" i="1"/>
  <c r="C406" i="1"/>
  <c r="H405" i="1"/>
  <c r="E405" i="1"/>
  <c r="C405" i="1"/>
  <c r="H404" i="1"/>
  <c r="E404" i="1"/>
  <c r="C404" i="1"/>
  <c r="H403" i="1"/>
  <c r="E403" i="1"/>
  <c r="C403" i="1"/>
  <c r="H402" i="1"/>
  <c r="E402" i="1"/>
  <c r="C402" i="1"/>
  <c r="H401" i="1"/>
  <c r="E401" i="1"/>
  <c r="C401" i="1"/>
  <c r="H400" i="1"/>
  <c r="E400" i="1"/>
  <c r="C400" i="1"/>
  <c r="H399" i="1"/>
  <c r="E399" i="1"/>
  <c r="C399" i="1"/>
  <c r="H398" i="1"/>
  <c r="E398" i="1"/>
  <c r="C398" i="1"/>
  <c r="H397" i="1"/>
  <c r="E397" i="1"/>
  <c r="C397" i="1"/>
  <c r="H396" i="1"/>
  <c r="E396" i="1"/>
  <c r="C396" i="1"/>
  <c r="H395" i="1"/>
  <c r="E395" i="1"/>
  <c r="C395" i="1"/>
  <c r="H394" i="1"/>
  <c r="E394" i="1"/>
  <c r="C394" i="1"/>
  <c r="H393" i="1"/>
  <c r="E393" i="1"/>
  <c r="C393" i="1"/>
  <c r="H392" i="1"/>
  <c r="E392" i="1"/>
  <c r="C392" i="1"/>
  <c r="H391" i="1"/>
  <c r="E391" i="1"/>
  <c r="C391" i="1"/>
  <c r="H390" i="1"/>
  <c r="E390" i="1"/>
  <c r="C390" i="1"/>
  <c r="H389" i="1"/>
  <c r="E389" i="1"/>
  <c r="C389" i="1"/>
  <c r="H388" i="1"/>
  <c r="E388" i="1"/>
  <c r="C388" i="1"/>
  <c r="H387" i="1"/>
  <c r="E387" i="1"/>
  <c r="C387" i="1"/>
  <c r="H386" i="1"/>
  <c r="E386" i="1"/>
  <c r="C386" i="1"/>
  <c r="H385" i="1"/>
  <c r="E385" i="1"/>
  <c r="C385" i="1"/>
  <c r="H384" i="1"/>
  <c r="E384" i="1"/>
  <c r="C384" i="1"/>
  <c r="H383" i="1"/>
  <c r="E383" i="1"/>
  <c r="C383" i="1"/>
  <c r="H382" i="1"/>
  <c r="E382" i="1"/>
  <c r="C382" i="1"/>
  <c r="H381" i="1"/>
  <c r="E381" i="1"/>
  <c r="C381" i="1"/>
  <c r="H380" i="1"/>
  <c r="E380" i="1"/>
  <c r="C380" i="1"/>
  <c r="H379" i="1"/>
  <c r="E379" i="1"/>
  <c r="C379" i="1"/>
  <c r="H378" i="1"/>
  <c r="E378" i="1"/>
  <c r="C378" i="1"/>
  <c r="H377" i="1"/>
  <c r="E377" i="1"/>
  <c r="C377" i="1"/>
  <c r="H376" i="1"/>
  <c r="E376" i="1"/>
  <c r="C376" i="1"/>
  <c r="H375" i="1"/>
  <c r="E375" i="1"/>
  <c r="C375" i="1"/>
  <c r="H374" i="1"/>
  <c r="E374" i="1"/>
  <c r="C374" i="1"/>
  <c r="H373" i="1"/>
  <c r="E373" i="1"/>
  <c r="C373" i="1"/>
  <c r="H372" i="1"/>
  <c r="E372" i="1"/>
  <c r="C372" i="1"/>
  <c r="H371" i="1"/>
  <c r="E371" i="1"/>
  <c r="C371" i="1"/>
  <c r="H370" i="1"/>
  <c r="E370" i="1"/>
  <c r="C370" i="1"/>
  <c r="H369" i="1"/>
  <c r="E369" i="1"/>
  <c r="C369" i="1"/>
  <c r="H368" i="1"/>
  <c r="E368" i="1"/>
  <c r="C368" i="1"/>
  <c r="H367" i="1"/>
  <c r="E367" i="1"/>
  <c r="C367" i="1"/>
  <c r="H366" i="1"/>
  <c r="E366" i="1"/>
  <c r="C366" i="1"/>
  <c r="H365" i="1"/>
  <c r="E365" i="1"/>
  <c r="C365" i="1"/>
  <c r="H364" i="1"/>
  <c r="E364" i="1"/>
  <c r="C364" i="1"/>
  <c r="H363" i="1"/>
  <c r="E363" i="1"/>
  <c r="C363" i="1"/>
  <c r="H362" i="1"/>
  <c r="E362" i="1"/>
  <c r="C362" i="1"/>
  <c r="H361" i="1"/>
  <c r="E361" i="1"/>
  <c r="C361" i="1"/>
  <c r="H360" i="1"/>
  <c r="E360" i="1"/>
  <c r="C360" i="1"/>
  <c r="H359" i="1"/>
  <c r="E359" i="1"/>
  <c r="C359" i="1"/>
  <c r="H358" i="1"/>
  <c r="E358" i="1"/>
  <c r="C358" i="1"/>
  <c r="H357" i="1"/>
  <c r="E357" i="1"/>
  <c r="C357" i="1"/>
  <c r="H356" i="1"/>
  <c r="E356" i="1"/>
  <c r="C356" i="1"/>
  <c r="H355" i="1"/>
  <c r="E355" i="1"/>
  <c r="C355" i="1"/>
  <c r="H354" i="1"/>
  <c r="E354" i="1"/>
  <c r="C354" i="1"/>
  <c r="H353" i="1"/>
  <c r="E353" i="1"/>
  <c r="C353" i="1"/>
  <c r="H352" i="1"/>
  <c r="E352" i="1"/>
  <c r="C352" i="1"/>
  <c r="H351" i="1"/>
  <c r="E351" i="1"/>
  <c r="C351" i="1"/>
  <c r="H350" i="1"/>
  <c r="E350" i="1"/>
  <c r="C350" i="1"/>
  <c r="H349" i="1"/>
  <c r="E349" i="1"/>
  <c r="C349" i="1"/>
  <c r="H348" i="1"/>
  <c r="E348" i="1"/>
  <c r="C348" i="1"/>
  <c r="H347" i="1"/>
  <c r="E347" i="1"/>
  <c r="C347" i="1"/>
  <c r="H346" i="1"/>
  <c r="E346" i="1"/>
  <c r="C346" i="1"/>
  <c r="H345" i="1"/>
  <c r="E345" i="1"/>
  <c r="C345" i="1"/>
  <c r="H344" i="1"/>
  <c r="E344" i="1"/>
  <c r="C344" i="1"/>
  <c r="H343" i="1"/>
  <c r="E343" i="1"/>
  <c r="C343" i="1"/>
  <c r="H342" i="1"/>
  <c r="E342" i="1"/>
  <c r="C342" i="1"/>
  <c r="H341" i="1"/>
  <c r="E341" i="1"/>
  <c r="C341" i="1"/>
  <c r="H340" i="1"/>
  <c r="E340" i="1"/>
  <c r="C340" i="1"/>
  <c r="H339" i="1"/>
  <c r="E339" i="1"/>
  <c r="C339" i="1"/>
  <c r="H338" i="1"/>
  <c r="E338" i="1"/>
  <c r="C338" i="1"/>
  <c r="H337" i="1"/>
  <c r="E337" i="1"/>
  <c r="C337" i="1"/>
  <c r="H336" i="1"/>
  <c r="E336" i="1"/>
  <c r="C336" i="1"/>
  <c r="H335" i="1"/>
  <c r="E335" i="1"/>
  <c r="C335" i="1"/>
  <c r="H334" i="1"/>
  <c r="E334" i="1"/>
  <c r="C334" i="1"/>
  <c r="H333" i="1"/>
  <c r="E333" i="1"/>
  <c r="C333" i="1"/>
  <c r="H332" i="1"/>
  <c r="E332" i="1"/>
  <c r="C332" i="1"/>
  <c r="H331" i="1"/>
  <c r="E331" i="1"/>
  <c r="C331" i="1"/>
  <c r="H330" i="1"/>
  <c r="E330" i="1"/>
  <c r="C330" i="1"/>
  <c r="H329" i="1"/>
  <c r="E329" i="1"/>
  <c r="C329" i="1"/>
  <c r="H328" i="1"/>
  <c r="E328" i="1"/>
  <c r="C328" i="1"/>
  <c r="H327" i="1"/>
  <c r="E327" i="1"/>
  <c r="C327" i="1"/>
  <c r="H326" i="1"/>
  <c r="E326" i="1"/>
  <c r="C326" i="1"/>
  <c r="H325" i="1"/>
  <c r="E325" i="1"/>
  <c r="C325" i="1"/>
  <c r="H324" i="1"/>
  <c r="E324" i="1"/>
  <c r="C324" i="1"/>
  <c r="H323" i="1"/>
  <c r="E323" i="1"/>
  <c r="C323" i="1"/>
  <c r="H322" i="1"/>
  <c r="E322" i="1"/>
  <c r="C322" i="1"/>
  <c r="H321" i="1"/>
  <c r="E321" i="1"/>
  <c r="C321" i="1"/>
  <c r="H320" i="1"/>
  <c r="E320" i="1"/>
  <c r="C320" i="1"/>
  <c r="H319" i="1"/>
  <c r="E319" i="1"/>
  <c r="C319" i="1"/>
  <c r="H318" i="1"/>
  <c r="E318" i="1"/>
  <c r="C318" i="1"/>
  <c r="H317" i="1"/>
  <c r="E317" i="1"/>
  <c r="C317" i="1"/>
  <c r="H316" i="1"/>
  <c r="E316" i="1"/>
  <c r="C316" i="1"/>
  <c r="H315" i="1"/>
  <c r="E315" i="1"/>
  <c r="C315" i="1"/>
  <c r="H314" i="1"/>
  <c r="E314" i="1"/>
  <c r="C314" i="1"/>
  <c r="H313" i="1"/>
  <c r="E313" i="1"/>
  <c r="C313" i="1"/>
  <c r="H312" i="1"/>
  <c r="E312" i="1"/>
  <c r="C312" i="1"/>
  <c r="H311" i="1"/>
  <c r="E311" i="1"/>
  <c r="C311" i="1"/>
  <c r="H310" i="1"/>
  <c r="E310" i="1"/>
  <c r="C310" i="1"/>
  <c r="H309" i="1"/>
  <c r="E309" i="1"/>
  <c r="C309" i="1"/>
  <c r="H308" i="1"/>
  <c r="E308" i="1"/>
  <c r="C308" i="1"/>
  <c r="H307" i="1"/>
  <c r="E307" i="1"/>
  <c r="C307" i="1"/>
  <c r="H306" i="1"/>
  <c r="E306" i="1"/>
  <c r="C306" i="1"/>
  <c r="H305" i="1"/>
  <c r="E305" i="1"/>
  <c r="C305" i="1"/>
  <c r="H304" i="1"/>
  <c r="E304" i="1"/>
  <c r="C304" i="1"/>
  <c r="H303" i="1"/>
  <c r="E303" i="1"/>
  <c r="C303" i="1"/>
  <c r="H302" i="1"/>
  <c r="E302" i="1"/>
  <c r="C302" i="1"/>
  <c r="H301" i="1"/>
  <c r="E301" i="1"/>
  <c r="C301" i="1"/>
  <c r="H300" i="1"/>
  <c r="E300" i="1"/>
  <c r="C300" i="1"/>
  <c r="H299" i="1"/>
  <c r="E299" i="1"/>
  <c r="C299" i="1"/>
  <c r="H298" i="1"/>
  <c r="E298" i="1"/>
  <c r="C298" i="1"/>
  <c r="H297" i="1"/>
  <c r="E297" i="1"/>
  <c r="C297" i="1"/>
  <c r="H296" i="1"/>
  <c r="E296" i="1"/>
  <c r="C296" i="1"/>
  <c r="H295" i="1"/>
  <c r="E295" i="1"/>
  <c r="C295" i="1"/>
  <c r="H294" i="1"/>
  <c r="E294" i="1"/>
  <c r="C294" i="1"/>
  <c r="H293" i="1"/>
  <c r="E293" i="1"/>
  <c r="C293" i="1"/>
  <c r="H292" i="1"/>
  <c r="E292" i="1"/>
  <c r="C292" i="1"/>
  <c r="H291" i="1"/>
  <c r="E291" i="1"/>
  <c r="C291" i="1"/>
  <c r="H290" i="1"/>
  <c r="E290" i="1"/>
  <c r="C290" i="1"/>
  <c r="H289" i="1"/>
  <c r="E289" i="1"/>
  <c r="C289" i="1"/>
  <c r="H288" i="1"/>
  <c r="E288" i="1"/>
  <c r="C288" i="1"/>
  <c r="H287" i="1"/>
  <c r="E287" i="1"/>
  <c r="C287" i="1"/>
  <c r="H286" i="1"/>
  <c r="E286" i="1"/>
  <c r="C286" i="1"/>
  <c r="H285" i="1"/>
  <c r="E285" i="1"/>
  <c r="C285" i="1"/>
  <c r="H284" i="1"/>
  <c r="E284" i="1"/>
  <c r="C284" i="1"/>
  <c r="H283" i="1"/>
  <c r="E283" i="1"/>
  <c r="C283" i="1"/>
  <c r="H282" i="1"/>
  <c r="E282" i="1"/>
  <c r="C282" i="1"/>
  <c r="H281" i="1"/>
  <c r="E281" i="1"/>
  <c r="C281" i="1"/>
  <c r="H280" i="1"/>
  <c r="E280" i="1"/>
  <c r="C280" i="1"/>
  <c r="H279" i="1"/>
  <c r="E279" i="1"/>
  <c r="C279" i="1"/>
  <c r="H278" i="1"/>
  <c r="E278" i="1"/>
  <c r="C278" i="1"/>
  <c r="H277" i="1"/>
  <c r="E277" i="1"/>
  <c r="C277" i="1"/>
  <c r="H276" i="1"/>
  <c r="E276" i="1"/>
  <c r="C276" i="1"/>
  <c r="H275" i="1"/>
  <c r="E275" i="1"/>
  <c r="C275" i="1"/>
  <c r="H274" i="1"/>
  <c r="E274" i="1"/>
  <c r="C274" i="1"/>
  <c r="H273" i="1"/>
  <c r="E273" i="1"/>
  <c r="C273" i="1"/>
  <c r="H272" i="1"/>
  <c r="E272" i="1"/>
  <c r="C272" i="1"/>
  <c r="H271" i="1"/>
  <c r="E271" i="1"/>
  <c r="C271" i="1"/>
  <c r="H270" i="1"/>
  <c r="E270" i="1"/>
  <c r="C270" i="1"/>
  <c r="H269" i="1"/>
  <c r="E269" i="1"/>
  <c r="C269" i="1"/>
  <c r="H268" i="1"/>
  <c r="E268" i="1"/>
  <c r="C268" i="1"/>
  <c r="H267" i="1"/>
  <c r="E267" i="1"/>
  <c r="C267" i="1"/>
  <c r="H266" i="1"/>
  <c r="E266" i="1"/>
  <c r="C266" i="1"/>
  <c r="H265" i="1"/>
  <c r="E265" i="1"/>
  <c r="C265" i="1"/>
  <c r="H264" i="1"/>
  <c r="E264" i="1"/>
  <c r="C264" i="1"/>
  <c r="H263" i="1"/>
  <c r="E263" i="1"/>
  <c r="C263" i="1"/>
  <c r="H262" i="1"/>
  <c r="E262" i="1"/>
  <c r="C262" i="1"/>
  <c r="H261" i="1"/>
  <c r="E261" i="1"/>
  <c r="C261" i="1"/>
  <c r="H260" i="1"/>
  <c r="E260" i="1"/>
  <c r="C260" i="1"/>
  <c r="H259" i="1"/>
  <c r="E259" i="1"/>
  <c r="C259" i="1"/>
  <c r="H258" i="1"/>
  <c r="E258" i="1"/>
  <c r="C258" i="1"/>
  <c r="H257" i="1"/>
  <c r="E257" i="1"/>
  <c r="C257" i="1"/>
  <c r="H256" i="1"/>
  <c r="E256" i="1"/>
  <c r="C256" i="1"/>
  <c r="H255" i="1"/>
  <c r="E255" i="1"/>
  <c r="C255" i="1"/>
  <c r="H254" i="1"/>
  <c r="E254" i="1"/>
  <c r="C254" i="1"/>
  <c r="H253" i="1"/>
  <c r="E253" i="1"/>
  <c r="C253" i="1"/>
  <c r="H252" i="1"/>
  <c r="E252" i="1"/>
  <c r="C252" i="1"/>
  <c r="H251" i="1"/>
  <c r="E251" i="1"/>
  <c r="C251" i="1"/>
  <c r="H250" i="1"/>
  <c r="E250" i="1"/>
  <c r="C250" i="1"/>
  <c r="H249" i="1"/>
  <c r="E249" i="1"/>
  <c r="C249" i="1"/>
  <c r="H248" i="1"/>
  <c r="E248" i="1"/>
  <c r="C248" i="1"/>
  <c r="H247" i="1"/>
  <c r="E247" i="1"/>
  <c r="C247" i="1"/>
  <c r="H246" i="1"/>
  <c r="E246" i="1"/>
  <c r="C246" i="1"/>
  <c r="H245" i="1"/>
  <c r="E245" i="1"/>
  <c r="C245" i="1"/>
  <c r="H244" i="1"/>
  <c r="E244" i="1"/>
  <c r="C244" i="1"/>
  <c r="H243" i="1"/>
  <c r="E243" i="1"/>
  <c r="C243" i="1"/>
  <c r="H242" i="1"/>
  <c r="E242" i="1"/>
  <c r="C242" i="1"/>
  <c r="H241" i="1"/>
  <c r="E241" i="1"/>
  <c r="C241" i="1"/>
  <c r="H240" i="1"/>
  <c r="E240" i="1"/>
  <c r="C240" i="1"/>
  <c r="H239" i="1"/>
  <c r="E239" i="1"/>
  <c r="C239" i="1"/>
  <c r="H238" i="1"/>
  <c r="E238" i="1"/>
  <c r="C238" i="1"/>
  <c r="H237" i="1"/>
  <c r="E237" i="1"/>
  <c r="C237" i="1"/>
  <c r="H236" i="1"/>
  <c r="E236" i="1"/>
  <c r="C236" i="1"/>
  <c r="H235" i="1"/>
  <c r="E235" i="1"/>
  <c r="C235" i="1"/>
  <c r="H234" i="1"/>
  <c r="E234" i="1"/>
  <c r="C234" i="1"/>
  <c r="H233" i="1"/>
  <c r="E233" i="1"/>
  <c r="C233" i="1"/>
  <c r="H232" i="1"/>
  <c r="E232" i="1"/>
  <c r="C232" i="1"/>
  <c r="H231" i="1"/>
  <c r="E231" i="1"/>
  <c r="C231" i="1"/>
  <c r="H230" i="1"/>
  <c r="E230" i="1"/>
  <c r="C230" i="1"/>
  <c r="H229" i="1"/>
  <c r="E229" i="1"/>
  <c r="C229" i="1"/>
  <c r="H228" i="1"/>
  <c r="E228" i="1"/>
  <c r="C228" i="1"/>
  <c r="H227" i="1"/>
  <c r="E227" i="1"/>
  <c r="C227" i="1"/>
  <c r="H226" i="1"/>
  <c r="E226" i="1"/>
  <c r="C226" i="1"/>
  <c r="H225" i="1"/>
  <c r="E225" i="1"/>
  <c r="C225" i="1"/>
  <c r="H224" i="1"/>
  <c r="E224" i="1"/>
  <c r="C224" i="1"/>
  <c r="H223" i="1"/>
  <c r="E223" i="1"/>
  <c r="C223" i="1"/>
  <c r="H222" i="1"/>
  <c r="E222" i="1"/>
  <c r="C222" i="1"/>
  <c r="H221" i="1"/>
  <c r="E221" i="1"/>
  <c r="C221" i="1"/>
  <c r="H220" i="1"/>
  <c r="E220" i="1"/>
  <c r="C220" i="1"/>
  <c r="H219" i="1"/>
  <c r="E219" i="1"/>
  <c r="C219" i="1"/>
  <c r="H218" i="1"/>
  <c r="E218" i="1"/>
  <c r="C218" i="1"/>
  <c r="H217" i="1"/>
  <c r="E217" i="1"/>
  <c r="C217" i="1"/>
  <c r="H216" i="1"/>
  <c r="E216" i="1"/>
  <c r="C216" i="1"/>
  <c r="H215" i="1"/>
  <c r="E215" i="1"/>
  <c r="C215" i="1"/>
  <c r="H214" i="1"/>
  <c r="E214" i="1"/>
  <c r="C214" i="1"/>
  <c r="H213" i="1"/>
  <c r="E213" i="1"/>
  <c r="C213" i="1"/>
  <c r="H212" i="1"/>
  <c r="E212" i="1"/>
  <c r="C212" i="1"/>
  <c r="H211" i="1"/>
  <c r="E211" i="1"/>
  <c r="C211" i="1"/>
  <c r="H210" i="1"/>
  <c r="E210" i="1"/>
  <c r="C210" i="1"/>
  <c r="H209" i="1"/>
  <c r="E209" i="1"/>
  <c r="C209" i="1"/>
  <c r="H208" i="1"/>
  <c r="E208" i="1"/>
  <c r="C208" i="1"/>
  <c r="H207" i="1"/>
  <c r="E207" i="1"/>
  <c r="C207" i="1"/>
  <c r="H206" i="1"/>
  <c r="E206" i="1"/>
  <c r="C206" i="1"/>
  <c r="H205" i="1"/>
  <c r="E205" i="1"/>
  <c r="C205" i="1"/>
  <c r="H204" i="1"/>
  <c r="E204" i="1"/>
  <c r="C204" i="1"/>
  <c r="H203" i="1"/>
  <c r="E203" i="1"/>
  <c r="C203" i="1"/>
  <c r="H202" i="1"/>
  <c r="E202" i="1"/>
  <c r="C202" i="1"/>
  <c r="H201" i="1"/>
  <c r="E201" i="1"/>
  <c r="C201" i="1"/>
  <c r="H200" i="1"/>
  <c r="E200" i="1"/>
  <c r="C200" i="1"/>
  <c r="H199" i="1"/>
  <c r="E199" i="1"/>
  <c r="C199" i="1"/>
  <c r="H198" i="1"/>
  <c r="E198" i="1"/>
  <c r="C198" i="1"/>
  <c r="H197" i="1"/>
  <c r="E197" i="1"/>
  <c r="C197" i="1"/>
  <c r="H196" i="1"/>
  <c r="E196" i="1"/>
  <c r="C196" i="1"/>
  <c r="H195" i="1"/>
  <c r="E195" i="1"/>
  <c r="C195" i="1"/>
  <c r="H194" i="1"/>
  <c r="E194" i="1"/>
  <c r="C194" i="1"/>
  <c r="H193" i="1"/>
  <c r="E193" i="1"/>
  <c r="C193" i="1"/>
  <c r="H192" i="1"/>
  <c r="E192" i="1"/>
  <c r="C192" i="1"/>
  <c r="H191" i="1"/>
  <c r="E191" i="1"/>
  <c r="C191" i="1"/>
  <c r="H190" i="1"/>
  <c r="E190" i="1"/>
  <c r="C190" i="1"/>
  <c r="H189" i="1"/>
  <c r="E189" i="1"/>
  <c r="C189" i="1"/>
  <c r="H188" i="1"/>
  <c r="E188" i="1"/>
  <c r="C188" i="1"/>
  <c r="H187" i="1"/>
  <c r="E187" i="1"/>
  <c r="C187" i="1"/>
  <c r="H186" i="1"/>
  <c r="E186" i="1"/>
  <c r="C186" i="1"/>
  <c r="H185" i="1"/>
  <c r="E185" i="1"/>
  <c r="C185" i="1"/>
  <c r="H184" i="1"/>
  <c r="E184" i="1"/>
  <c r="C184" i="1"/>
  <c r="H183" i="1"/>
  <c r="E183" i="1"/>
  <c r="C183" i="1"/>
  <c r="H182" i="1"/>
  <c r="E182" i="1"/>
  <c r="C182" i="1"/>
  <c r="H181" i="1"/>
  <c r="E181" i="1"/>
  <c r="C181" i="1"/>
  <c r="H180" i="1"/>
  <c r="E180" i="1"/>
  <c r="C180" i="1"/>
  <c r="H179" i="1"/>
  <c r="E179" i="1"/>
  <c r="C179" i="1"/>
  <c r="H178" i="1"/>
  <c r="E178" i="1"/>
  <c r="C178" i="1"/>
  <c r="H177" i="1"/>
  <c r="E177" i="1"/>
  <c r="C177" i="1"/>
  <c r="H176" i="1"/>
  <c r="E176" i="1"/>
  <c r="C176" i="1"/>
  <c r="H175" i="1"/>
  <c r="E175" i="1"/>
  <c r="C175" i="1"/>
  <c r="H174" i="1"/>
  <c r="E174" i="1"/>
  <c r="C174" i="1"/>
  <c r="H173" i="1"/>
  <c r="E173" i="1"/>
  <c r="C173" i="1"/>
  <c r="H172" i="1"/>
  <c r="E172" i="1"/>
  <c r="C172" i="1"/>
  <c r="H171" i="1"/>
  <c r="E171" i="1"/>
  <c r="C171" i="1"/>
  <c r="H170" i="1"/>
  <c r="E170" i="1"/>
  <c r="C170" i="1"/>
  <c r="H169" i="1"/>
  <c r="E169" i="1"/>
  <c r="C169" i="1"/>
  <c r="H168" i="1"/>
  <c r="E168" i="1"/>
  <c r="C168" i="1"/>
  <c r="H167" i="1"/>
  <c r="E167" i="1"/>
  <c r="C167" i="1"/>
  <c r="H166" i="1"/>
  <c r="E166" i="1"/>
  <c r="C166" i="1"/>
  <c r="H165" i="1"/>
  <c r="E165" i="1"/>
  <c r="C165" i="1"/>
  <c r="H164" i="1"/>
  <c r="E164" i="1"/>
  <c r="C164" i="1"/>
  <c r="H163" i="1"/>
  <c r="E163" i="1"/>
  <c r="C163" i="1"/>
  <c r="H162" i="1"/>
  <c r="E162" i="1"/>
  <c r="C162" i="1"/>
  <c r="H161" i="1"/>
  <c r="E161" i="1"/>
  <c r="C161" i="1"/>
  <c r="H160" i="1"/>
  <c r="E160" i="1"/>
  <c r="C160" i="1"/>
  <c r="H159" i="1"/>
  <c r="E159" i="1"/>
  <c r="C159" i="1"/>
  <c r="H158" i="1"/>
  <c r="E158" i="1"/>
  <c r="C158" i="1"/>
  <c r="H157" i="1"/>
  <c r="E157" i="1"/>
  <c r="C157" i="1"/>
  <c r="H156" i="1"/>
  <c r="E156" i="1"/>
  <c r="C156" i="1"/>
  <c r="H155" i="1"/>
  <c r="E155" i="1"/>
  <c r="C155" i="1"/>
  <c r="H154" i="1"/>
  <c r="E154" i="1"/>
  <c r="C154" i="1"/>
  <c r="H153" i="1"/>
  <c r="E153" i="1"/>
  <c r="C153" i="1"/>
  <c r="H152" i="1"/>
  <c r="E152" i="1"/>
  <c r="C152" i="1"/>
  <c r="H151" i="1"/>
  <c r="E151" i="1"/>
  <c r="C151" i="1"/>
  <c r="H150" i="1"/>
  <c r="E150" i="1"/>
  <c r="C150" i="1"/>
  <c r="H149" i="1"/>
  <c r="E149" i="1"/>
  <c r="C149" i="1"/>
  <c r="H148" i="1"/>
  <c r="E148" i="1"/>
  <c r="C148" i="1"/>
  <c r="H147" i="1"/>
  <c r="E147" i="1"/>
  <c r="C147" i="1"/>
  <c r="H146" i="1"/>
  <c r="E146" i="1"/>
  <c r="C146" i="1"/>
  <c r="H145" i="1"/>
  <c r="E145" i="1"/>
  <c r="C145" i="1"/>
  <c r="H144" i="1"/>
  <c r="E144" i="1"/>
  <c r="C144" i="1"/>
  <c r="H143" i="1"/>
  <c r="E143" i="1"/>
  <c r="C143" i="1"/>
  <c r="H142" i="1"/>
  <c r="E142" i="1"/>
  <c r="C142" i="1"/>
  <c r="H141" i="1"/>
  <c r="E141" i="1"/>
  <c r="C141" i="1"/>
  <c r="H140" i="1"/>
  <c r="E140" i="1"/>
  <c r="C140" i="1"/>
  <c r="H139" i="1"/>
  <c r="E139" i="1"/>
  <c r="C139" i="1"/>
  <c r="H138" i="1"/>
  <c r="E138" i="1"/>
  <c r="C138" i="1"/>
  <c r="H137" i="1"/>
  <c r="E137" i="1"/>
  <c r="C137" i="1"/>
  <c r="H136" i="1"/>
  <c r="E136" i="1"/>
  <c r="C136" i="1"/>
  <c r="H135" i="1"/>
  <c r="E135" i="1"/>
  <c r="C135" i="1"/>
  <c r="H134" i="1"/>
  <c r="E134" i="1"/>
  <c r="C134" i="1"/>
  <c r="H133" i="1"/>
  <c r="E133" i="1"/>
  <c r="C133" i="1"/>
  <c r="H132" i="1"/>
  <c r="E132" i="1"/>
  <c r="C132" i="1"/>
  <c r="H131" i="1"/>
  <c r="E131" i="1"/>
  <c r="C131" i="1"/>
  <c r="H130" i="1"/>
  <c r="E130" i="1"/>
  <c r="C130" i="1"/>
  <c r="H129" i="1"/>
  <c r="E129" i="1"/>
  <c r="C129" i="1"/>
  <c r="H128" i="1"/>
  <c r="E128" i="1"/>
  <c r="C128" i="1"/>
  <c r="H127" i="1"/>
  <c r="E127" i="1"/>
  <c r="C127" i="1"/>
  <c r="H126" i="1"/>
  <c r="E126" i="1"/>
  <c r="C126" i="1"/>
  <c r="H125" i="1"/>
  <c r="E125" i="1"/>
  <c r="C125" i="1"/>
  <c r="H124" i="1"/>
  <c r="E124" i="1"/>
  <c r="C124" i="1"/>
  <c r="H123" i="1"/>
  <c r="E123" i="1"/>
  <c r="C123" i="1"/>
  <c r="H122" i="1"/>
  <c r="E122" i="1"/>
  <c r="C122" i="1"/>
  <c r="H121" i="1"/>
  <c r="E121" i="1"/>
  <c r="C121" i="1"/>
  <c r="H120" i="1"/>
  <c r="E120" i="1"/>
  <c r="C120" i="1"/>
  <c r="H119" i="1"/>
  <c r="E119" i="1"/>
  <c r="C119" i="1"/>
  <c r="H118" i="1"/>
  <c r="E118" i="1"/>
  <c r="C118" i="1"/>
  <c r="H117" i="1"/>
  <c r="E117" i="1"/>
  <c r="C117" i="1"/>
  <c r="H116" i="1"/>
  <c r="E116" i="1"/>
  <c r="C116" i="1"/>
  <c r="H115" i="1"/>
  <c r="E115" i="1"/>
  <c r="C115" i="1"/>
  <c r="H114" i="1"/>
  <c r="E114" i="1"/>
  <c r="C114" i="1"/>
  <c r="H113" i="1"/>
  <c r="E113" i="1"/>
  <c r="C113" i="1"/>
  <c r="H112" i="1"/>
  <c r="E112" i="1"/>
  <c r="C112" i="1"/>
  <c r="H111" i="1"/>
  <c r="E111" i="1"/>
  <c r="C111" i="1"/>
  <c r="H110" i="1"/>
  <c r="E110" i="1"/>
  <c r="C110" i="1"/>
  <c r="H109" i="1"/>
  <c r="E109" i="1"/>
  <c r="C109" i="1"/>
  <c r="H108" i="1"/>
  <c r="E108" i="1"/>
  <c r="C108" i="1"/>
  <c r="H107" i="1"/>
  <c r="E107" i="1"/>
  <c r="C107" i="1"/>
  <c r="H106" i="1"/>
  <c r="E106" i="1"/>
  <c r="C106" i="1"/>
  <c r="H105" i="1"/>
  <c r="E105" i="1"/>
  <c r="C105" i="1"/>
  <c r="H104" i="1"/>
  <c r="E104" i="1"/>
  <c r="C104" i="1"/>
  <c r="H103" i="1"/>
  <c r="E103" i="1"/>
  <c r="C103" i="1"/>
  <c r="H102" i="1"/>
  <c r="E102" i="1"/>
  <c r="C102" i="1"/>
  <c r="H101" i="1"/>
  <c r="E101" i="1"/>
  <c r="C101" i="1"/>
  <c r="H100" i="1"/>
  <c r="E100" i="1"/>
  <c r="C100" i="1"/>
  <c r="H99" i="1"/>
  <c r="E99" i="1"/>
  <c r="C99" i="1"/>
  <c r="H98" i="1"/>
  <c r="E98" i="1"/>
  <c r="C98" i="1"/>
  <c r="H97" i="1"/>
  <c r="E97" i="1"/>
  <c r="C97" i="1"/>
  <c r="H96" i="1"/>
  <c r="E96" i="1"/>
  <c r="C96" i="1"/>
  <c r="H95" i="1"/>
  <c r="E95" i="1"/>
  <c r="C95" i="1"/>
  <c r="H94" i="1"/>
  <c r="E94" i="1"/>
  <c r="C94" i="1"/>
  <c r="H93" i="1"/>
  <c r="E93" i="1"/>
  <c r="C93" i="1"/>
  <c r="H92" i="1"/>
  <c r="E92" i="1"/>
  <c r="C92" i="1"/>
  <c r="H91" i="1"/>
  <c r="E91" i="1"/>
  <c r="C91" i="1"/>
  <c r="H90" i="1"/>
  <c r="E90" i="1"/>
  <c r="C90" i="1"/>
  <c r="H89" i="1"/>
  <c r="E89" i="1"/>
  <c r="C89" i="1"/>
  <c r="H88" i="1"/>
  <c r="E88" i="1"/>
  <c r="C88" i="1"/>
  <c r="H87" i="1"/>
  <c r="E87" i="1"/>
  <c r="C87" i="1"/>
  <c r="H86" i="1"/>
  <c r="E86" i="1"/>
  <c r="C86" i="1"/>
  <c r="H85" i="1"/>
  <c r="E85" i="1"/>
  <c r="C85" i="1"/>
  <c r="H84" i="1"/>
  <c r="E84" i="1"/>
  <c r="C84" i="1"/>
  <c r="H83" i="1"/>
  <c r="E83" i="1"/>
  <c r="C83" i="1"/>
  <c r="H82" i="1"/>
  <c r="E82" i="1"/>
  <c r="C82" i="1"/>
  <c r="H81" i="1"/>
  <c r="E81" i="1"/>
  <c r="C81" i="1"/>
  <c r="H80" i="1"/>
  <c r="E80" i="1"/>
  <c r="C80" i="1"/>
  <c r="H79" i="1"/>
  <c r="E79" i="1"/>
  <c r="C79" i="1"/>
  <c r="H78" i="1"/>
  <c r="E78" i="1"/>
  <c r="C78" i="1"/>
  <c r="H77" i="1"/>
  <c r="E77" i="1"/>
  <c r="C77" i="1"/>
  <c r="H76" i="1"/>
  <c r="E76" i="1"/>
  <c r="C76" i="1"/>
  <c r="H75" i="1"/>
  <c r="E75" i="1"/>
  <c r="C75" i="1"/>
  <c r="H74" i="1"/>
  <c r="E74" i="1"/>
  <c r="C74" i="1"/>
  <c r="H73" i="1"/>
  <c r="E73" i="1"/>
  <c r="C73" i="1"/>
  <c r="H72" i="1"/>
  <c r="E72" i="1"/>
  <c r="C72" i="1"/>
  <c r="H71" i="1"/>
  <c r="E71" i="1"/>
  <c r="C71" i="1"/>
  <c r="H70" i="1"/>
  <c r="E70" i="1"/>
  <c r="C70" i="1"/>
  <c r="H69" i="1"/>
  <c r="E69" i="1"/>
  <c r="C69" i="1"/>
  <c r="H68" i="1"/>
  <c r="E68" i="1"/>
  <c r="C68" i="1"/>
  <c r="H67" i="1"/>
  <c r="E67" i="1"/>
  <c r="C67" i="1"/>
  <c r="H66" i="1"/>
  <c r="E66" i="1"/>
  <c r="C66" i="1"/>
  <c r="H65" i="1"/>
  <c r="E65" i="1"/>
  <c r="C65" i="1"/>
  <c r="H64" i="1"/>
  <c r="E64" i="1"/>
  <c r="C64" i="1"/>
  <c r="H63" i="1"/>
  <c r="E63" i="1"/>
  <c r="C63" i="1"/>
  <c r="H62" i="1"/>
  <c r="E62" i="1"/>
  <c r="C62" i="1"/>
  <c r="H61" i="1"/>
  <c r="E61" i="1"/>
  <c r="C61" i="1"/>
  <c r="H60" i="1"/>
  <c r="E60" i="1"/>
  <c r="C60" i="1"/>
  <c r="H59" i="1"/>
  <c r="E59" i="1"/>
  <c r="C59" i="1"/>
  <c r="H58" i="1"/>
  <c r="E58" i="1"/>
  <c r="C58" i="1"/>
  <c r="H57" i="1"/>
  <c r="E57" i="1"/>
  <c r="C57" i="1"/>
  <c r="H56" i="1"/>
  <c r="E56" i="1"/>
  <c r="C56" i="1"/>
  <c r="H55" i="1"/>
  <c r="E55" i="1"/>
  <c r="C55" i="1"/>
  <c r="H54" i="1"/>
  <c r="E54" i="1"/>
  <c r="C54" i="1"/>
  <c r="H53" i="1"/>
  <c r="E53" i="1"/>
  <c r="C53" i="1"/>
  <c r="H52" i="1"/>
  <c r="E52" i="1"/>
  <c r="C52" i="1"/>
  <c r="H51" i="1"/>
  <c r="E51" i="1"/>
  <c r="C51" i="1"/>
  <c r="H50" i="1"/>
  <c r="E50" i="1"/>
  <c r="C50" i="1"/>
  <c r="H49" i="1"/>
  <c r="E49" i="1"/>
  <c r="C49" i="1"/>
  <c r="H48" i="1"/>
  <c r="E48" i="1"/>
  <c r="C48" i="1"/>
  <c r="H47" i="1"/>
  <c r="E47" i="1"/>
  <c r="C47" i="1"/>
  <c r="H46" i="1"/>
  <c r="E46" i="1"/>
  <c r="C46" i="1"/>
  <c r="H45" i="1"/>
  <c r="E45" i="1"/>
  <c r="C45" i="1"/>
  <c r="H44" i="1"/>
  <c r="E44" i="1"/>
  <c r="C44" i="1"/>
  <c r="H43" i="1"/>
  <c r="E43" i="1"/>
  <c r="C43" i="1"/>
  <c r="H42" i="1"/>
  <c r="E42" i="1"/>
  <c r="C42" i="1"/>
  <c r="H41" i="1"/>
  <c r="E41" i="1"/>
  <c r="C41" i="1"/>
  <c r="H40" i="1"/>
  <c r="E40" i="1"/>
  <c r="C40" i="1"/>
  <c r="H39" i="1"/>
  <c r="E39" i="1"/>
  <c r="C39" i="1"/>
  <c r="H38" i="1"/>
  <c r="E38" i="1"/>
  <c r="C38" i="1"/>
  <c r="H37" i="1"/>
  <c r="E37" i="1"/>
  <c r="C37" i="1"/>
  <c r="H36" i="1"/>
  <c r="E36" i="1"/>
  <c r="C36" i="1"/>
  <c r="H35" i="1"/>
  <c r="E35" i="1"/>
  <c r="C35" i="1"/>
  <c r="H34" i="1"/>
  <c r="E34" i="1"/>
  <c r="C34" i="1"/>
  <c r="H33" i="1"/>
  <c r="E33" i="1"/>
  <c r="C33" i="1"/>
  <c r="H32" i="1"/>
  <c r="E32" i="1"/>
  <c r="C32" i="1"/>
  <c r="H31" i="1"/>
  <c r="E31" i="1"/>
  <c r="C31" i="1"/>
  <c r="H30" i="1"/>
  <c r="E30" i="1"/>
  <c r="C30" i="1"/>
  <c r="H29" i="1"/>
  <c r="E29" i="1"/>
  <c r="C29" i="1"/>
  <c r="H28" i="1"/>
  <c r="E28" i="1"/>
  <c r="C28" i="1"/>
  <c r="H27" i="1"/>
  <c r="E27" i="1"/>
  <c r="C27" i="1"/>
  <c r="H26" i="1"/>
  <c r="E26" i="1"/>
  <c r="C26" i="1"/>
  <c r="H25" i="1"/>
  <c r="E25" i="1"/>
  <c r="C25" i="1"/>
  <c r="H24" i="1"/>
  <c r="E24" i="1"/>
  <c r="C24" i="1"/>
  <c r="H23" i="1"/>
  <c r="E23" i="1"/>
  <c r="C23" i="1"/>
  <c r="H22" i="1"/>
  <c r="E22" i="1"/>
  <c r="C22" i="1"/>
  <c r="H21" i="1"/>
  <c r="E21" i="1"/>
  <c r="C21" i="1"/>
  <c r="H20" i="1"/>
  <c r="E20" i="1"/>
  <c r="C20" i="1"/>
  <c r="H19" i="1"/>
  <c r="E19" i="1"/>
  <c r="C19" i="1"/>
  <c r="H18" i="1"/>
  <c r="E18" i="1"/>
  <c r="C18" i="1"/>
  <c r="H17" i="1"/>
  <c r="E17" i="1"/>
  <c r="C17" i="1"/>
  <c r="H16" i="1"/>
  <c r="E16" i="1"/>
  <c r="C16" i="1"/>
  <c r="H15" i="1"/>
  <c r="E15" i="1"/>
  <c r="C15" i="1"/>
  <c r="H14" i="1"/>
  <c r="E14" i="1"/>
  <c r="C14" i="1"/>
  <c r="H13" i="1"/>
  <c r="E13" i="1"/>
  <c r="C13" i="1"/>
  <c r="H12" i="1"/>
  <c r="E12" i="1"/>
  <c r="C12" i="1"/>
  <c r="H11" i="1"/>
  <c r="E11" i="1"/>
  <c r="C11" i="1"/>
  <c r="H10" i="1"/>
  <c r="E10" i="1"/>
  <c r="C10" i="1"/>
  <c r="H9" i="1"/>
  <c r="E9" i="1"/>
  <c r="C9" i="1"/>
  <c r="H8" i="1"/>
  <c r="E8" i="1"/>
  <c r="C8" i="1"/>
  <c r="H7" i="1"/>
  <c r="E7" i="1"/>
  <c r="C7" i="1"/>
  <c r="H6" i="1"/>
  <c r="E6" i="1"/>
  <c r="C6" i="1"/>
</calcChain>
</file>

<file path=xl/sharedStrings.xml><?xml version="1.0" encoding="utf-8"?>
<sst xmlns="http://schemas.openxmlformats.org/spreadsheetml/2006/main" count="7157" uniqueCount="114">
  <si>
    <t>Catalogue d’icônes AV</t>
  </si>
  <si>
    <t>Saisir les cellules jaunes. C, E et H sont calculées. 1 000 lignes disponibles.</t>
  </si>
  <si>
    <t>filename</t>
  </si>
  <si>
    <t>library_key</t>
  </si>
  <si>
    <t>libraryName</t>
  </si>
  <si>
    <t>name</t>
  </si>
  <si>
    <t>id</t>
  </si>
  <si>
    <t>category</t>
  </si>
  <si>
    <t>subcategory</t>
  </si>
  <si>
    <t>src</t>
  </si>
  <si>
    <t>inclure</t>
  </si>
  <si>
    <t>type</t>
  </si>
  <si>
    <t>Navigation_Media_Play.svg</t>
  </si>
  <si>
    <t>lib001</t>
  </si>
  <si>
    <t>Play</t>
  </si>
  <si>
    <t>Navigation</t>
  </si>
  <si>
    <t>Médias</t>
  </si>
  <si>
    <t>Oui</t>
  </si>
  <si>
    <t>icon</t>
  </si>
  <si>
    <t>SourceAudio_Mic_Mute.svg</t>
  </si>
  <si>
    <t>Mute</t>
  </si>
  <si>
    <t>Sources audio</t>
  </si>
  <si>
    <t>Microphone</t>
  </si>
  <si>
    <t>SourceVideo_Cam_Down.svg</t>
  </si>
  <si>
    <t>Down</t>
  </si>
  <si>
    <t>Sources vidéo</t>
  </si>
  <si>
    <t>Caméra</t>
  </si>
  <si>
    <t>SourceVideo_Cam_Up.svg</t>
  </si>
  <si>
    <t>Up</t>
  </si>
  <si>
    <t/>
  </si>
  <si>
    <t>Paramètres et bibliothèques</t>
  </si>
  <si>
    <t>id du catalogue</t>
  </si>
  <si>
    <t>av-icons</t>
  </si>
  <si>
    <t>1. Remplacer l’URL par le dossier public qui contiendra les SVG.</t>
  </si>
  <si>
    <t>URL racine des SVG</t>
  </si>
  <si>
    <t>2. Renommer les bibliothèques en colonne B ; conserver les clés lib001, etc.</t>
  </si>
  <si>
    <t>version du catalogue</t>
  </si>
  <si>
    <t>2026-10-16</t>
  </si>
  <si>
    <t>3. Affecter chaque SVG à une clé dans Catalogue.</t>
  </si>
  <si>
    <t>nom du catalogue</t>
  </si>
  <si>
    <t>Catalogue Icones</t>
  </si>
  <si>
    <t>4. Modifier name, category et subcategory selon les besoins.</t>
  </si>
  <si>
    <t>5. Enregistrer le .xlsx, puis le relire dans le Studio pour générer le JSON.</t>
  </si>
  <si>
    <t>6. Déposer catalogue-icones.json et les SVG sur le serveur.</t>
  </si>
  <si>
    <t>DGTS_Defaut</t>
  </si>
  <si>
    <t>Le Studio ne publie rien et ne demande aucun jeton GitHub.</t>
  </si>
  <si>
    <t>lib002</t>
  </si>
  <si>
    <t>Les quatre lignes du modèle sont des exemples à remplacer ou mettre sur Non.</t>
  </si>
  <si>
    <t>lib003</t>
  </si>
  <si>
    <t>Le nom du fichier, son chemin et la clé déterminent l’id. Renommer la bibliothèque conserve cet id.</t>
  </si>
  <si>
    <t>lib004</t>
  </si>
  <si>
    <t>Le type icon recolore tout le SVG ; button conserve des tracés recolorables séparément.</t>
  </si>
  <si>
    <t>lib005</t>
  </si>
  <si>
    <t>La colonne src affiche les espaces encodés ; le Studio encode aussi les caractères spéciaux à l’export JSON.</t>
  </si>
  <si>
    <t>lib006</t>
  </si>
  <si>
    <t>La génération JSON recalcule id, libraryName et src à partir des saisies.</t>
  </si>
  <si>
    <t>lib007</t>
  </si>
  <si>
    <t>Source : convention de catalogue d’AV Interface Studio PRO.</t>
  </si>
  <si>
    <t>lib008</t>
  </si>
  <si>
    <t>lib009</t>
  </si>
  <si>
    <t>lib010</t>
  </si>
  <si>
    <t>lib011</t>
  </si>
  <si>
    <t>lib012</t>
  </si>
  <si>
    <t>lib013</t>
  </si>
  <si>
    <t>lib014</t>
  </si>
  <si>
    <t>lib015</t>
  </si>
  <si>
    <t>lib016</t>
  </si>
  <si>
    <t>lib017</t>
  </si>
  <si>
    <t>lib018</t>
  </si>
  <si>
    <t>lib019</t>
  </si>
  <si>
    <t>lib020</t>
  </si>
  <si>
    <t>lib021</t>
  </si>
  <si>
    <t>lib022</t>
  </si>
  <si>
    <t>lib023</t>
  </si>
  <si>
    <t>lib024</t>
  </si>
  <si>
    <t>lib025</t>
  </si>
  <si>
    <t>lib026</t>
  </si>
  <si>
    <t>lib027</t>
  </si>
  <si>
    <t>lib028</t>
  </si>
  <si>
    <t>lib029</t>
  </si>
  <si>
    <t>lib030</t>
  </si>
  <si>
    <t>lib031</t>
  </si>
  <si>
    <t>lib032</t>
  </si>
  <si>
    <t>lib033</t>
  </si>
  <si>
    <t>lib034</t>
  </si>
  <si>
    <t>lib035</t>
  </si>
  <si>
    <t>lib036</t>
  </si>
  <si>
    <t>lib037</t>
  </si>
  <si>
    <t>lib038</t>
  </si>
  <si>
    <t>lib039</t>
  </si>
  <si>
    <t>lib040</t>
  </si>
  <si>
    <t>lib041</t>
  </si>
  <si>
    <t>lib042</t>
  </si>
  <si>
    <t>lib043</t>
  </si>
  <si>
    <t>lib044</t>
  </si>
  <si>
    <t>lib045</t>
  </si>
  <si>
    <t>lib046</t>
  </si>
  <si>
    <t>lib047</t>
  </si>
  <si>
    <t>lib048</t>
  </si>
  <si>
    <t>lib049</t>
  </si>
  <si>
    <t>lib050</t>
  </si>
  <si>
    <t>Fader et level</t>
  </si>
  <si>
    <t>Général</t>
  </si>
  <si>
    <t>Texte</t>
  </si>
  <si>
    <t>HDMI</t>
  </si>
  <si>
    <t>USB-A</t>
  </si>
  <si>
    <t>USB-C</t>
  </si>
  <si>
    <t>Custom</t>
  </si>
  <si>
    <t>ClickShare</t>
  </si>
  <si>
    <t>Blu-ray Disc</t>
  </si>
  <si>
    <t>Volume</t>
  </si>
  <si>
    <t>Éclairage</t>
  </si>
  <si>
    <t>Non classées</t>
  </si>
  <si>
    <t>DGTS-Test01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</si>
</sst>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0"/>
      <color rgb="FF233044"/>
      <name val="Arial"/>
    </font>
    <font>
      <b/>
      <sz val="15"/>
      <color rgb="FF233044"/>
      <name val="Arial"/>
    </font>
    <font>
      <i/>
      <sz val="10"/>
      <color rgb="FF59687E"/>
      <name val="Arial"/>
    </font>
    <font>
      <b/>
      <sz val="10"/>
      <color rgb="FFFFFFFF"/>
      <name val="Arial"/>
    </font>
    <font>
      <sz val="10"/>
      <color rgb="FF59687E"/>
      <name val="Arial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273347"/>
      </patternFill>
    </fill>
    <fill>
      <patternFill patternType="solid">
        <fgColor rgb="FFFFF4D7"/>
      </patternFill>
    </fill>
    <fill>
      <patternFill patternType="solid">
        <fgColor rgb="FFEDF1F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4" borderId="0" xfId="0" applyFont="1" applyFill="1"/>
    <xf numFmtId="0" fontId="1" fillId="4" borderId="0" xfId="0" applyFont="1" applyFill="1" applyAlignment="1">
      <alignment wrapText="1"/>
    </xf>
    <xf numFmtId="49" fontId="1" fillId="3" borderId="0" xfId="0" applyNumberFormat="1" applyFont="1" applyFill="1"/>
    <xf numFmtId="0" fontId="5" fillId="0" borderId="0" xfId="0" applyFont="1"/>
    <xf numFmtId="49" fontId="6" fillId="3" borderId="0" xfId="1" applyNumberFormat="1" applyFill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talogueIcones" displayName="CatalogueIcones" ref="A5:J1005" totalsRowShown="0">
  <tableColumns count="10">
    <tableColumn id="1" xr3:uid="{00000000-0010-0000-0000-000001000000}" name="filename"/>
    <tableColumn id="2" xr3:uid="{00000000-0010-0000-0000-000002000000}" name="library_key"/>
    <tableColumn id="3" xr3:uid="{00000000-0010-0000-0000-000003000000}" name="libraryName"/>
    <tableColumn id="4" xr3:uid="{00000000-0010-0000-0000-000004000000}" name="name"/>
    <tableColumn id="5" xr3:uid="{00000000-0010-0000-0000-000005000000}" name="id"/>
    <tableColumn id="6" xr3:uid="{00000000-0010-0000-0000-000006000000}" name="category"/>
    <tableColumn id="7" xr3:uid="{00000000-0010-0000-0000-000007000000}" name="subcategory"/>
    <tableColumn id="8" xr3:uid="{00000000-0010-0000-0000-000008000000}" name="src"/>
    <tableColumn id="9" xr3:uid="{00000000-0010-0000-0000-000009000000}" name="inclure"/>
    <tableColumn id="10" xr3:uid="{00000000-0010-0000-0000-00000A000000}" name="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455A3"/>
  </sheetPr>
  <dimension ref="A1:J10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G6" sqref="G6"/>
    </sheetView>
  </sheetViews>
  <sheetFormatPr baseColWidth="10" defaultColWidth="9" defaultRowHeight="14.25"/>
  <cols>
    <col min="1" max="1" width="34" customWidth="1"/>
    <col min="2" max="2" width="15" customWidth="1"/>
    <col min="3" max="3" width="19" customWidth="1"/>
    <col min="4" max="4" width="22" customWidth="1"/>
    <col min="5" max="5" width="37" customWidth="1"/>
    <col min="6" max="6" width="19" customWidth="1"/>
    <col min="7" max="7" width="18" customWidth="1"/>
    <col min="8" max="8" width="66" customWidth="1"/>
    <col min="9" max="9" width="10" customWidth="1"/>
    <col min="10" max="10" width="12" customWidth="1"/>
  </cols>
  <sheetData>
    <row r="1" spans="1:10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9.5">
      <c r="A2" s="2" t="s">
        <v>0</v>
      </c>
      <c r="B2" s="1"/>
      <c r="C2" s="1"/>
      <c r="D2" s="1"/>
      <c r="E2" s="1"/>
      <c r="F2" s="1"/>
      <c r="G2" s="1"/>
      <c r="H2" s="1"/>
      <c r="I2" s="1"/>
      <c r="J2" s="1"/>
    </row>
    <row r="3" spans="1:10">
      <c r="A3" s="3" t="s">
        <v>1</v>
      </c>
      <c r="B3" s="1"/>
      <c r="C3" s="1"/>
      <c r="D3" s="1"/>
      <c r="E3" s="1"/>
      <c r="F3" s="1"/>
      <c r="G3" s="1"/>
      <c r="H3" s="1"/>
      <c r="I3" s="1"/>
      <c r="J3" s="1"/>
    </row>
    <row r="4" spans="1:10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26.1" customHeight="1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</row>
    <row r="6" spans="1:10" ht="33.950000000000003" customHeight="1">
      <c r="A6" s="6" t="s">
        <v>12</v>
      </c>
      <c r="B6" s="6" t="s">
        <v>46</v>
      </c>
      <c r="C6" s="7" t="str">
        <f>IF(A6="","",IFERROR(IF(VLOOKUP(B6,Bibliotheques!$A$10:$B$59,2,FALSE)=0,"Nom manquant",VLOOKUP(B6,Bibliotheques!$A$10:$B$59,2,FALSE)),"Clé inconnue"))</f>
        <v>DGTS-Test01</v>
      </c>
      <c r="D6" s="6" t="s">
        <v>14</v>
      </c>
      <c r="E6" s="7" t="str">
        <f t="shared" ref="E6:E69" si="0">IF(A6="","",LOWER(B6&amp;"-"&amp;SUBSTITUTE(SUBSTITUTE(SUBSTITUTE(LOWER(A6),".svg","")," ","-"),"/","-")))</f>
        <v>lib002-navigation_media_play</v>
      </c>
      <c r="F6" s="6" t="s">
        <v>15</v>
      </c>
      <c r="G6" s="6" t="s">
        <v>102</v>
      </c>
      <c r="H6" s="8" t="str">
        <f>IF(A6="","",Bibliotheques!$B$5&amp;IF(RIGHT(Bibliotheques!$B$5,1)="/","","/")&amp;SUBSTITUTE(A6," ","%20"))</f>
        <v>/Navigation_Media_Play.svg</v>
      </c>
      <c r="I6" s="6" t="s">
        <v>17</v>
      </c>
      <c r="J6" s="6" t="s">
        <v>18</v>
      </c>
    </row>
    <row r="7" spans="1:10" ht="33.950000000000003" customHeight="1">
      <c r="A7" s="6" t="s">
        <v>19</v>
      </c>
      <c r="B7" s="6" t="s">
        <v>13</v>
      </c>
      <c r="C7" s="7" t="str">
        <f>IF(A7="","",IFERROR(IF(VLOOKUP(B7,Bibliotheques!$A$10:$B$59,2,FALSE)=0,"Nom manquant",VLOOKUP(B7,Bibliotheques!$A$10:$B$59,2,FALSE)),"Clé inconnue"))</f>
        <v>DGTS_Defaut</v>
      </c>
      <c r="D7" s="6" t="s">
        <v>20</v>
      </c>
      <c r="E7" s="7" t="str">
        <f t="shared" si="0"/>
        <v>lib001-sourceaudio_mic_mute</v>
      </c>
      <c r="F7" s="6" t="s">
        <v>21</v>
      </c>
      <c r="G7" s="6" t="s">
        <v>22</v>
      </c>
      <c r="H7" s="8" t="str">
        <f>IF(A7="","",Bibliotheques!$B$5&amp;IF(RIGHT(Bibliotheques!$B$5,1)="/","","/")&amp;SUBSTITUTE(A7," ","%20"))</f>
        <v>/SourceAudio_Mic_Mute.svg</v>
      </c>
      <c r="I7" s="6" t="s">
        <v>17</v>
      </c>
      <c r="J7" s="6" t="s">
        <v>18</v>
      </c>
    </row>
    <row r="8" spans="1:10" ht="33.950000000000003" customHeight="1">
      <c r="A8" s="6" t="s">
        <v>23</v>
      </c>
      <c r="B8" s="6" t="s">
        <v>13</v>
      </c>
      <c r="C8" s="7" t="str">
        <f>IF(A8="","",IFERROR(IF(VLOOKUP(B8,Bibliotheques!$A$10:$B$59,2,FALSE)=0,"Nom manquant",VLOOKUP(B8,Bibliotheques!$A$10:$B$59,2,FALSE)),"Clé inconnue"))</f>
        <v>DGTS_Defaut</v>
      </c>
      <c r="D8" s="6" t="s">
        <v>24</v>
      </c>
      <c r="E8" s="7" t="str">
        <f t="shared" si="0"/>
        <v>lib001-sourcevideo_cam_down</v>
      </c>
      <c r="F8" s="6" t="s">
        <v>25</v>
      </c>
      <c r="G8" s="6" t="s">
        <v>26</v>
      </c>
      <c r="H8" s="8" t="str">
        <f>IF(A8="","",Bibliotheques!$B$5&amp;IF(RIGHT(Bibliotheques!$B$5,1)="/","","/")&amp;SUBSTITUTE(A8," ","%20"))</f>
        <v>/SourceVideo_Cam_Down.svg</v>
      </c>
      <c r="I8" s="6" t="s">
        <v>17</v>
      </c>
      <c r="J8" s="6" t="s">
        <v>18</v>
      </c>
    </row>
    <row r="9" spans="1:10" ht="33.950000000000003" customHeight="1">
      <c r="A9" s="6" t="s">
        <v>27</v>
      </c>
      <c r="B9" s="6" t="s">
        <v>13</v>
      </c>
      <c r="C9" s="7" t="str">
        <f>IF(A9="","",IFERROR(IF(VLOOKUP(B9,Bibliotheques!$A$10:$B$59,2,FALSE)=0,"Nom manquant",VLOOKUP(B9,Bibliotheques!$A$10:$B$59,2,FALSE)),"Clé inconnue"))</f>
        <v>DGTS_Defaut</v>
      </c>
      <c r="D9" s="6" t="s">
        <v>28</v>
      </c>
      <c r="E9" s="7" t="str">
        <f t="shared" si="0"/>
        <v>lib001-sourcevideo_cam_up</v>
      </c>
      <c r="F9" s="6" t="s">
        <v>25</v>
      </c>
      <c r="G9" s="6" t="s">
        <v>26</v>
      </c>
      <c r="H9" s="8" t="str">
        <f>IF(A9="","",Bibliotheques!$B$5&amp;IF(RIGHT(Bibliotheques!$B$5,1)="/","","/")&amp;SUBSTITUTE(A9," ","%20"))</f>
        <v>/SourceVideo_Cam_Up.svg</v>
      </c>
      <c r="I9" s="6" t="s">
        <v>17</v>
      </c>
      <c r="J9" s="6" t="s">
        <v>18</v>
      </c>
    </row>
    <row r="10" spans="1:10" ht="33.950000000000003" customHeight="1">
      <c r="A10" s="6" t="s">
        <v>29</v>
      </c>
      <c r="B10" s="6" t="s">
        <v>29</v>
      </c>
      <c r="C10" s="7" t="str">
        <f>IF(A10="","",IFERROR(IF(VLOOKUP(B10,Bibliotheques!$A$10:$B$59,2,FALSE)=0,"Nom manquant",VLOOKUP(B10,Bibliotheques!$A$10:$B$59,2,FALSE)),"Clé inconnue"))</f>
        <v/>
      </c>
      <c r="D10" s="6" t="s">
        <v>29</v>
      </c>
      <c r="E10" s="7" t="str">
        <f t="shared" si="0"/>
        <v/>
      </c>
      <c r="F10" s="6" t="s">
        <v>29</v>
      </c>
      <c r="G10" s="6" t="s">
        <v>29</v>
      </c>
      <c r="H10" s="8" t="str">
        <f>IF(A10="","",Bibliotheques!$B$5&amp;IF(RIGHT(Bibliotheques!$B$5,1)="/","","/")&amp;SUBSTITUTE(A10," ","%20"))</f>
        <v/>
      </c>
      <c r="I10" s="6" t="s">
        <v>29</v>
      </c>
      <c r="J10" s="6" t="s">
        <v>29</v>
      </c>
    </row>
    <row r="11" spans="1:10" ht="33.950000000000003" customHeight="1">
      <c r="A11" s="6" t="s">
        <v>29</v>
      </c>
      <c r="B11" s="6" t="s">
        <v>29</v>
      </c>
      <c r="C11" s="7" t="str">
        <f>IF(A11="","",IFERROR(IF(VLOOKUP(B11,Bibliotheques!$A$10:$B$59,2,FALSE)=0,"Nom manquant",VLOOKUP(B11,Bibliotheques!$A$10:$B$59,2,FALSE)),"Clé inconnue"))</f>
        <v/>
      </c>
      <c r="D11" s="6" t="s">
        <v>29</v>
      </c>
      <c r="E11" s="7" t="str">
        <f t="shared" si="0"/>
        <v/>
      </c>
      <c r="F11" s="6" t="s">
        <v>29</v>
      </c>
      <c r="G11" s="6" t="s">
        <v>29</v>
      </c>
      <c r="H11" s="8" t="str">
        <f>IF(A11="","",Bibliotheques!$B$5&amp;IF(RIGHT(Bibliotheques!$B$5,1)="/","","/")&amp;SUBSTITUTE(A11," ","%20"))</f>
        <v/>
      </c>
      <c r="I11" s="6" t="s">
        <v>29</v>
      </c>
      <c r="J11" s="6" t="s">
        <v>29</v>
      </c>
    </row>
    <row r="12" spans="1:10" ht="33.950000000000003" customHeight="1">
      <c r="A12" s="6" t="s">
        <v>29</v>
      </c>
      <c r="B12" s="6" t="s">
        <v>29</v>
      </c>
      <c r="C12" s="7" t="str">
        <f>IF(A12="","",IFERROR(IF(VLOOKUP(B12,Bibliotheques!$A$10:$B$59,2,FALSE)=0,"Nom manquant",VLOOKUP(B12,Bibliotheques!$A$10:$B$59,2,FALSE)),"Clé inconnue"))</f>
        <v/>
      </c>
      <c r="D12" s="6" t="s">
        <v>29</v>
      </c>
      <c r="E12" s="7" t="str">
        <f t="shared" si="0"/>
        <v/>
      </c>
      <c r="F12" s="6" t="s">
        <v>29</v>
      </c>
      <c r="G12" s="6" t="s">
        <v>29</v>
      </c>
      <c r="H12" s="8" t="str">
        <f>IF(A12="","",Bibliotheques!$B$5&amp;IF(RIGHT(Bibliotheques!$B$5,1)="/","","/")&amp;SUBSTITUTE(A12," ","%20"))</f>
        <v/>
      </c>
      <c r="I12" s="6" t="s">
        <v>29</v>
      </c>
      <c r="J12" s="6" t="s">
        <v>29</v>
      </c>
    </row>
    <row r="13" spans="1:10" ht="33.950000000000003" customHeight="1">
      <c r="A13" s="6" t="s">
        <v>29</v>
      </c>
      <c r="B13" s="6" t="s">
        <v>29</v>
      </c>
      <c r="C13" s="7" t="str">
        <f>IF(A13="","",IFERROR(IF(VLOOKUP(B13,Bibliotheques!$A$10:$B$59,2,FALSE)=0,"Nom manquant",VLOOKUP(B13,Bibliotheques!$A$10:$B$59,2,FALSE)),"Clé inconnue"))</f>
        <v/>
      </c>
      <c r="D13" s="6" t="s">
        <v>29</v>
      </c>
      <c r="E13" s="7" t="str">
        <f t="shared" si="0"/>
        <v/>
      </c>
      <c r="F13" s="6" t="s">
        <v>29</v>
      </c>
      <c r="G13" s="6" t="s">
        <v>29</v>
      </c>
      <c r="H13" s="8" t="str">
        <f>IF(A13="","",Bibliotheques!$B$5&amp;IF(RIGHT(Bibliotheques!$B$5,1)="/","","/")&amp;SUBSTITUTE(A13," ","%20"))</f>
        <v/>
      </c>
      <c r="I13" s="6" t="s">
        <v>29</v>
      </c>
      <c r="J13" s="6" t="s">
        <v>29</v>
      </c>
    </row>
    <row r="14" spans="1:10" ht="33.950000000000003" customHeight="1">
      <c r="A14" s="6" t="s">
        <v>29</v>
      </c>
      <c r="B14" s="6" t="s">
        <v>29</v>
      </c>
      <c r="C14" s="7" t="str">
        <f>IF(A14="","",IFERROR(IF(VLOOKUP(B14,Bibliotheques!$A$10:$B$59,2,FALSE)=0,"Nom manquant",VLOOKUP(B14,Bibliotheques!$A$10:$B$59,2,FALSE)),"Clé inconnue"))</f>
        <v/>
      </c>
      <c r="D14" s="6" t="s">
        <v>29</v>
      </c>
      <c r="E14" s="7" t="str">
        <f t="shared" si="0"/>
        <v/>
      </c>
      <c r="F14" s="6" t="s">
        <v>29</v>
      </c>
      <c r="G14" s="6" t="s">
        <v>29</v>
      </c>
      <c r="H14" s="8" t="str">
        <f>IF(A14="","",Bibliotheques!$B$5&amp;IF(RIGHT(Bibliotheques!$B$5,1)="/","","/")&amp;SUBSTITUTE(A14," ","%20"))</f>
        <v/>
      </c>
      <c r="I14" s="6" t="s">
        <v>29</v>
      </c>
      <c r="J14" s="6" t="s">
        <v>29</v>
      </c>
    </row>
    <row r="15" spans="1:10" ht="33.950000000000003" customHeight="1">
      <c r="A15" s="6" t="s">
        <v>29</v>
      </c>
      <c r="B15" s="6" t="s">
        <v>29</v>
      </c>
      <c r="C15" s="7" t="str">
        <f>IF(A15="","",IFERROR(IF(VLOOKUP(B15,Bibliotheques!$A$10:$B$59,2,FALSE)=0,"Nom manquant",VLOOKUP(B15,Bibliotheques!$A$10:$B$59,2,FALSE)),"Clé inconnue"))</f>
        <v/>
      </c>
      <c r="D15" s="6" t="s">
        <v>29</v>
      </c>
      <c r="E15" s="7" t="str">
        <f t="shared" si="0"/>
        <v/>
      </c>
      <c r="F15" s="6" t="s">
        <v>29</v>
      </c>
      <c r="G15" s="6" t="s">
        <v>29</v>
      </c>
      <c r="H15" s="8" t="str">
        <f>IF(A15="","",Bibliotheques!$B$5&amp;IF(RIGHT(Bibliotheques!$B$5,1)="/","","/")&amp;SUBSTITUTE(A15," ","%20"))</f>
        <v/>
      </c>
      <c r="I15" s="6" t="s">
        <v>29</v>
      </c>
      <c r="J15" s="6" t="s">
        <v>29</v>
      </c>
    </row>
    <row r="16" spans="1:10" ht="33.950000000000003" customHeight="1">
      <c r="A16" s="6" t="s">
        <v>29</v>
      </c>
      <c r="B16" s="6" t="s">
        <v>29</v>
      </c>
      <c r="C16" s="7" t="str">
        <f>IF(A16="","",IFERROR(IF(VLOOKUP(B16,Bibliotheques!$A$10:$B$59,2,FALSE)=0,"Nom manquant",VLOOKUP(B16,Bibliotheques!$A$10:$B$59,2,FALSE)),"Clé inconnue"))</f>
        <v/>
      </c>
      <c r="D16" s="6" t="s">
        <v>29</v>
      </c>
      <c r="E16" s="7" t="str">
        <f t="shared" si="0"/>
        <v/>
      </c>
      <c r="F16" s="6" t="s">
        <v>29</v>
      </c>
      <c r="G16" s="6" t="s">
        <v>29</v>
      </c>
      <c r="H16" s="8" t="str">
        <f>IF(A16="","",Bibliotheques!$B$5&amp;IF(RIGHT(Bibliotheques!$B$5,1)="/","","/")&amp;SUBSTITUTE(A16," ","%20"))</f>
        <v/>
      </c>
      <c r="I16" s="6" t="s">
        <v>29</v>
      </c>
      <c r="J16" s="6" t="s">
        <v>29</v>
      </c>
    </row>
    <row r="17" spans="1:10" ht="33.950000000000003" customHeight="1">
      <c r="A17" s="6" t="s">
        <v>29</v>
      </c>
      <c r="B17" s="6" t="s">
        <v>29</v>
      </c>
      <c r="C17" s="7" t="str">
        <f>IF(A17="","",IFERROR(IF(VLOOKUP(B17,Bibliotheques!$A$10:$B$59,2,FALSE)=0,"Nom manquant",VLOOKUP(B17,Bibliotheques!$A$10:$B$59,2,FALSE)),"Clé inconnue"))</f>
        <v/>
      </c>
      <c r="D17" s="6" t="s">
        <v>29</v>
      </c>
      <c r="E17" s="7" t="str">
        <f t="shared" si="0"/>
        <v/>
      </c>
      <c r="F17" s="6" t="s">
        <v>29</v>
      </c>
      <c r="G17" s="6" t="s">
        <v>29</v>
      </c>
      <c r="H17" s="8" t="str">
        <f>IF(A17="","",Bibliotheques!$B$5&amp;IF(RIGHT(Bibliotheques!$B$5,1)="/","","/")&amp;SUBSTITUTE(A17," ","%20"))</f>
        <v/>
      </c>
      <c r="I17" s="6" t="s">
        <v>29</v>
      </c>
      <c r="J17" s="6" t="s">
        <v>29</v>
      </c>
    </row>
    <row r="18" spans="1:10" ht="33.950000000000003" customHeight="1">
      <c r="A18" s="6" t="s">
        <v>29</v>
      </c>
      <c r="B18" s="6" t="s">
        <v>29</v>
      </c>
      <c r="C18" s="7" t="str">
        <f>IF(A18="","",IFERROR(IF(VLOOKUP(B18,Bibliotheques!$A$10:$B$59,2,FALSE)=0,"Nom manquant",VLOOKUP(B18,Bibliotheques!$A$10:$B$59,2,FALSE)),"Clé inconnue"))</f>
        <v/>
      </c>
      <c r="D18" s="6" t="s">
        <v>29</v>
      </c>
      <c r="E18" s="7" t="str">
        <f t="shared" si="0"/>
        <v/>
      </c>
      <c r="F18" s="6" t="s">
        <v>29</v>
      </c>
      <c r="G18" s="6" t="s">
        <v>29</v>
      </c>
      <c r="H18" s="8" t="str">
        <f>IF(A18="","",Bibliotheques!$B$5&amp;IF(RIGHT(Bibliotheques!$B$5,1)="/","","/")&amp;SUBSTITUTE(A18," ","%20"))</f>
        <v/>
      </c>
      <c r="I18" s="6" t="s">
        <v>29</v>
      </c>
      <c r="J18" s="6" t="s">
        <v>29</v>
      </c>
    </row>
    <row r="19" spans="1:10" ht="33.950000000000003" customHeight="1">
      <c r="A19" s="6" t="s">
        <v>29</v>
      </c>
      <c r="B19" s="6" t="s">
        <v>29</v>
      </c>
      <c r="C19" s="7" t="str">
        <f>IF(A19="","",IFERROR(IF(VLOOKUP(B19,Bibliotheques!$A$10:$B$59,2,FALSE)=0,"Nom manquant",VLOOKUP(B19,Bibliotheques!$A$10:$B$59,2,FALSE)),"Clé inconnue"))</f>
        <v/>
      </c>
      <c r="D19" s="6" t="s">
        <v>29</v>
      </c>
      <c r="E19" s="7" t="str">
        <f t="shared" si="0"/>
        <v/>
      </c>
      <c r="F19" s="6" t="s">
        <v>29</v>
      </c>
      <c r="G19" s="6" t="s">
        <v>29</v>
      </c>
      <c r="H19" s="8" t="str">
        <f>IF(A19="","",Bibliotheques!$B$5&amp;IF(RIGHT(Bibliotheques!$B$5,1)="/","","/")&amp;SUBSTITUTE(A19," ","%20"))</f>
        <v/>
      </c>
      <c r="I19" s="6" t="s">
        <v>29</v>
      </c>
      <c r="J19" s="6" t="s">
        <v>29</v>
      </c>
    </row>
    <row r="20" spans="1:10" ht="33.950000000000003" customHeight="1">
      <c r="A20" s="6" t="s">
        <v>29</v>
      </c>
      <c r="B20" s="6" t="s">
        <v>29</v>
      </c>
      <c r="C20" s="7" t="str">
        <f>IF(A20="","",IFERROR(IF(VLOOKUP(B20,Bibliotheques!$A$10:$B$59,2,FALSE)=0,"Nom manquant",VLOOKUP(B20,Bibliotheques!$A$10:$B$59,2,FALSE)),"Clé inconnue"))</f>
        <v/>
      </c>
      <c r="D20" s="6" t="s">
        <v>29</v>
      </c>
      <c r="E20" s="7" t="str">
        <f t="shared" si="0"/>
        <v/>
      </c>
      <c r="F20" s="6" t="s">
        <v>29</v>
      </c>
      <c r="G20" s="6" t="s">
        <v>29</v>
      </c>
      <c r="H20" s="8" t="str">
        <f>IF(A20="","",Bibliotheques!$B$5&amp;IF(RIGHT(Bibliotheques!$B$5,1)="/","","/")&amp;SUBSTITUTE(A20," ","%20"))</f>
        <v/>
      </c>
      <c r="I20" s="6" t="s">
        <v>29</v>
      </c>
      <c r="J20" s="6" t="s">
        <v>29</v>
      </c>
    </row>
    <row r="21" spans="1:10" ht="33.950000000000003" customHeight="1">
      <c r="A21" s="6" t="s">
        <v>29</v>
      </c>
      <c r="B21" s="6" t="s">
        <v>29</v>
      </c>
      <c r="C21" s="7" t="str">
        <f>IF(A21="","",IFERROR(IF(VLOOKUP(B21,Bibliotheques!$A$10:$B$59,2,FALSE)=0,"Nom manquant",VLOOKUP(B21,Bibliotheques!$A$10:$B$59,2,FALSE)),"Clé inconnue"))</f>
        <v/>
      </c>
      <c r="D21" s="6" t="s">
        <v>29</v>
      </c>
      <c r="E21" s="7" t="str">
        <f t="shared" si="0"/>
        <v/>
      </c>
      <c r="F21" s="6" t="s">
        <v>29</v>
      </c>
      <c r="G21" s="6" t="s">
        <v>29</v>
      </c>
      <c r="H21" s="8" t="str">
        <f>IF(A21="","",Bibliotheques!$B$5&amp;IF(RIGHT(Bibliotheques!$B$5,1)="/","","/")&amp;SUBSTITUTE(A21," ","%20"))</f>
        <v/>
      </c>
      <c r="I21" s="6" t="s">
        <v>29</v>
      </c>
      <c r="J21" s="6" t="s">
        <v>29</v>
      </c>
    </row>
    <row r="22" spans="1:10" ht="33.950000000000003" customHeight="1">
      <c r="A22" s="6" t="s">
        <v>29</v>
      </c>
      <c r="B22" s="6" t="s">
        <v>29</v>
      </c>
      <c r="C22" s="7" t="str">
        <f>IF(A22="","",IFERROR(IF(VLOOKUP(B22,Bibliotheques!$A$10:$B$59,2,FALSE)=0,"Nom manquant",VLOOKUP(B22,Bibliotheques!$A$10:$B$59,2,FALSE)),"Clé inconnue"))</f>
        <v/>
      </c>
      <c r="D22" s="6" t="s">
        <v>29</v>
      </c>
      <c r="E22" s="7" t="str">
        <f t="shared" si="0"/>
        <v/>
      </c>
      <c r="F22" s="6" t="s">
        <v>29</v>
      </c>
      <c r="G22" s="6" t="s">
        <v>29</v>
      </c>
      <c r="H22" s="8" t="str">
        <f>IF(A22="","",Bibliotheques!$B$5&amp;IF(RIGHT(Bibliotheques!$B$5,1)="/","","/")&amp;SUBSTITUTE(A22," ","%20"))</f>
        <v/>
      </c>
      <c r="I22" s="6" t="s">
        <v>29</v>
      </c>
      <c r="J22" s="6" t="s">
        <v>29</v>
      </c>
    </row>
    <row r="23" spans="1:10" ht="33.950000000000003" customHeight="1">
      <c r="A23" s="6" t="s">
        <v>29</v>
      </c>
      <c r="B23" s="6" t="s">
        <v>29</v>
      </c>
      <c r="C23" s="7" t="str">
        <f>IF(A23="","",IFERROR(IF(VLOOKUP(B23,Bibliotheques!$A$10:$B$59,2,FALSE)=0,"Nom manquant",VLOOKUP(B23,Bibliotheques!$A$10:$B$59,2,FALSE)),"Clé inconnue"))</f>
        <v/>
      </c>
      <c r="D23" s="6" t="s">
        <v>29</v>
      </c>
      <c r="E23" s="7" t="str">
        <f t="shared" si="0"/>
        <v/>
      </c>
      <c r="F23" s="6" t="s">
        <v>29</v>
      </c>
      <c r="G23" s="6" t="s">
        <v>29</v>
      </c>
      <c r="H23" s="8" t="str">
        <f>IF(A23="","",Bibliotheques!$B$5&amp;IF(RIGHT(Bibliotheques!$B$5,1)="/","","/")&amp;SUBSTITUTE(A23," ","%20"))</f>
        <v/>
      </c>
      <c r="I23" s="6" t="s">
        <v>29</v>
      </c>
      <c r="J23" s="6" t="s">
        <v>29</v>
      </c>
    </row>
    <row r="24" spans="1:10" ht="33.950000000000003" customHeight="1">
      <c r="A24" s="6" t="s">
        <v>29</v>
      </c>
      <c r="B24" s="6" t="s">
        <v>29</v>
      </c>
      <c r="C24" s="7" t="str">
        <f>IF(A24="","",IFERROR(IF(VLOOKUP(B24,Bibliotheques!$A$10:$B$59,2,FALSE)=0,"Nom manquant",VLOOKUP(B24,Bibliotheques!$A$10:$B$59,2,FALSE)),"Clé inconnue"))</f>
        <v/>
      </c>
      <c r="D24" s="6" t="s">
        <v>29</v>
      </c>
      <c r="E24" s="7" t="str">
        <f t="shared" si="0"/>
        <v/>
      </c>
      <c r="F24" s="6" t="s">
        <v>29</v>
      </c>
      <c r="G24" s="6" t="s">
        <v>29</v>
      </c>
      <c r="H24" s="8" t="str">
        <f>IF(A24="","",Bibliotheques!$B$5&amp;IF(RIGHT(Bibliotheques!$B$5,1)="/","","/")&amp;SUBSTITUTE(A24," ","%20"))</f>
        <v/>
      </c>
      <c r="I24" s="6" t="s">
        <v>29</v>
      </c>
      <c r="J24" s="6" t="s">
        <v>29</v>
      </c>
    </row>
    <row r="25" spans="1:10" ht="33.950000000000003" customHeight="1">
      <c r="A25" s="6" t="s">
        <v>29</v>
      </c>
      <c r="B25" s="6" t="s">
        <v>29</v>
      </c>
      <c r="C25" s="7" t="str">
        <f>IF(A25="","",IFERROR(IF(VLOOKUP(B25,Bibliotheques!$A$10:$B$59,2,FALSE)=0,"Nom manquant",VLOOKUP(B25,Bibliotheques!$A$10:$B$59,2,FALSE)),"Clé inconnue"))</f>
        <v/>
      </c>
      <c r="D25" s="6" t="s">
        <v>29</v>
      </c>
      <c r="E25" s="7" t="str">
        <f t="shared" si="0"/>
        <v/>
      </c>
      <c r="F25" s="6" t="s">
        <v>29</v>
      </c>
      <c r="G25" s="6" t="s">
        <v>29</v>
      </c>
      <c r="H25" s="8" t="str">
        <f>IF(A25="","",Bibliotheques!$B$5&amp;IF(RIGHT(Bibliotheques!$B$5,1)="/","","/")&amp;SUBSTITUTE(A25," ","%20"))</f>
        <v/>
      </c>
      <c r="I25" s="6" t="s">
        <v>29</v>
      </c>
      <c r="J25" s="6" t="s">
        <v>29</v>
      </c>
    </row>
    <row r="26" spans="1:10" ht="33.950000000000003" customHeight="1">
      <c r="A26" s="6" t="s">
        <v>29</v>
      </c>
      <c r="B26" s="6" t="s">
        <v>29</v>
      </c>
      <c r="C26" s="7" t="str">
        <f>IF(A26="","",IFERROR(IF(VLOOKUP(B26,Bibliotheques!$A$10:$B$59,2,FALSE)=0,"Nom manquant",VLOOKUP(B26,Bibliotheques!$A$10:$B$59,2,FALSE)),"Clé inconnue"))</f>
        <v/>
      </c>
      <c r="D26" s="6" t="s">
        <v>29</v>
      </c>
      <c r="E26" s="7" t="str">
        <f t="shared" si="0"/>
        <v/>
      </c>
      <c r="F26" s="6" t="s">
        <v>29</v>
      </c>
      <c r="G26" s="6" t="s">
        <v>29</v>
      </c>
      <c r="H26" s="8" t="str">
        <f>IF(A26="","",Bibliotheques!$B$5&amp;IF(RIGHT(Bibliotheques!$B$5,1)="/","","/")&amp;SUBSTITUTE(A26," ","%20"))</f>
        <v/>
      </c>
      <c r="I26" s="6" t="s">
        <v>29</v>
      </c>
      <c r="J26" s="6" t="s">
        <v>29</v>
      </c>
    </row>
    <row r="27" spans="1:10" ht="33.950000000000003" customHeight="1">
      <c r="A27" s="6" t="s">
        <v>29</v>
      </c>
      <c r="B27" s="6" t="s">
        <v>29</v>
      </c>
      <c r="C27" s="7" t="str">
        <f>IF(A27="","",IFERROR(IF(VLOOKUP(B27,Bibliotheques!$A$10:$B$59,2,FALSE)=0,"Nom manquant",VLOOKUP(B27,Bibliotheques!$A$10:$B$59,2,FALSE)),"Clé inconnue"))</f>
        <v/>
      </c>
      <c r="D27" s="6" t="s">
        <v>29</v>
      </c>
      <c r="E27" s="7" t="str">
        <f t="shared" si="0"/>
        <v/>
      </c>
      <c r="F27" s="6" t="s">
        <v>29</v>
      </c>
      <c r="G27" s="6" t="s">
        <v>29</v>
      </c>
      <c r="H27" s="8" t="str">
        <f>IF(A27="","",Bibliotheques!$B$5&amp;IF(RIGHT(Bibliotheques!$B$5,1)="/","","/")&amp;SUBSTITUTE(A27," ","%20"))</f>
        <v/>
      </c>
      <c r="I27" s="6" t="s">
        <v>29</v>
      </c>
      <c r="J27" s="6" t="s">
        <v>29</v>
      </c>
    </row>
    <row r="28" spans="1:10" ht="33.950000000000003" customHeight="1">
      <c r="A28" s="6" t="s">
        <v>29</v>
      </c>
      <c r="B28" s="6" t="s">
        <v>29</v>
      </c>
      <c r="C28" s="7" t="str">
        <f>IF(A28="","",IFERROR(IF(VLOOKUP(B28,Bibliotheques!$A$10:$B$59,2,FALSE)=0,"Nom manquant",VLOOKUP(B28,Bibliotheques!$A$10:$B$59,2,FALSE)),"Clé inconnue"))</f>
        <v/>
      </c>
      <c r="D28" s="6" t="s">
        <v>29</v>
      </c>
      <c r="E28" s="7" t="str">
        <f t="shared" si="0"/>
        <v/>
      </c>
      <c r="F28" s="6" t="s">
        <v>29</v>
      </c>
      <c r="G28" s="6" t="s">
        <v>29</v>
      </c>
      <c r="H28" s="8" t="str">
        <f>IF(A28="","",Bibliotheques!$B$5&amp;IF(RIGHT(Bibliotheques!$B$5,1)="/","","/")&amp;SUBSTITUTE(A28," ","%20"))</f>
        <v/>
      </c>
      <c r="I28" s="6" t="s">
        <v>29</v>
      </c>
      <c r="J28" s="6" t="s">
        <v>29</v>
      </c>
    </row>
    <row r="29" spans="1:10" ht="33.950000000000003" customHeight="1">
      <c r="A29" s="6" t="s">
        <v>29</v>
      </c>
      <c r="B29" s="6" t="s">
        <v>29</v>
      </c>
      <c r="C29" s="7" t="str">
        <f>IF(A29="","",IFERROR(IF(VLOOKUP(B29,Bibliotheques!$A$10:$B$59,2,FALSE)=0,"Nom manquant",VLOOKUP(B29,Bibliotheques!$A$10:$B$59,2,FALSE)),"Clé inconnue"))</f>
        <v/>
      </c>
      <c r="D29" s="6" t="s">
        <v>29</v>
      </c>
      <c r="E29" s="7" t="str">
        <f t="shared" si="0"/>
        <v/>
      </c>
      <c r="F29" s="6" t="s">
        <v>29</v>
      </c>
      <c r="G29" s="6" t="s">
        <v>29</v>
      </c>
      <c r="H29" s="8" t="str">
        <f>IF(A29="","",Bibliotheques!$B$5&amp;IF(RIGHT(Bibliotheques!$B$5,1)="/","","/")&amp;SUBSTITUTE(A29," ","%20"))</f>
        <v/>
      </c>
      <c r="I29" s="6" t="s">
        <v>29</v>
      </c>
      <c r="J29" s="6" t="s">
        <v>29</v>
      </c>
    </row>
    <row r="30" spans="1:10" ht="33.950000000000003" customHeight="1">
      <c r="A30" s="6" t="s">
        <v>29</v>
      </c>
      <c r="B30" s="6" t="s">
        <v>29</v>
      </c>
      <c r="C30" s="7" t="str">
        <f>IF(A30="","",IFERROR(IF(VLOOKUP(B30,Bibliotheques!$A$10:$B$59,2,FALSE)=0,"Nom manquant",VLOOKUP(B30,Bibliotheques!$A$10:$B$59,2,FALSE)),"Clé inconnue"))</f>
        <v/>
      </c>
      <c r="D30" s="6" t="s">
        <v>29</v>
      </c>
      <c r="E30" s="7" t="str">
        <f t="shared" si="0"/>
        <v/>
      </c>
      <c r="F30" s="6" t="s">
        <v>29</v>
      </c>
      <c r="G30" s="6" t="s">
        <v>29</v>
      </c>
      <c r="H30" s="8" t="str">
        <f>IF(A30="","",Bibliotheques!$B$5&amp;IF(RIGHT(Bibliotheques!$B$5,1)="/","","/")&amp;SUBSTITUTE(A30," ","%20"))</f>
        <v/>
      </c>
      <c r="I30" s="6" t="s">
        <v>29</v>
      </c>
      <c r="J30" s="6" t="s">
        <v>29</v>
      </c>
    </row>
    <row r="31" spans="1:10" ht="33.950000000000003" customHeight="1">
      <c r="A31" s="6" t="s">
        <v>29</v>
      </c>
      <c r="B31" s="6" t="s">
        <v>29</v>
      </c>
      <c r="C31" s="7" t="str">
        <f>IF(A31="","",IFERROR(IF(VLOOKUP(B31,Bibliotheques!$A$10:$B$59,2,FALSE)=0,"Nom manquant",VLOOKUP(B31,Bibliotheques!$A$10:$B$59,2,FALSE)),"Clé inconnue"))</f>
        <v/>
      </c>
      <c r="D31" s="6" t="s">
        <v>29</v>
      </c>
      <c r="E31" s="7" t="str">
        <f t="shared" si="0"/>
        <v/>
      </c>
      <c r="F31" s="6" t="s">
        <v>29</v>
      </c>
      <c r="G31" s="6" t="s">
        <v>29</v>
      </c>
      <c r="H31" s="8" t="str">
        <f>IF(A31="","",Bibliotheques!$B$5&amp;IF(RIGHT(Bibliotheques!$B$5,1)="/","","/")&amp;SUBSTITUTE(A31," ","%20"))</f>
        <v/>
      </c>
      <c r="I31" s="6" t="s">
        <v>29</v>
      </c>
      <c r="J31" s="6" t="s">
        <v>29</v>
      </c>
    </row>
    <row r="32" spans="1:10" ht="33.950000000000003" customHeight="1">
      <c r="A32" s="6" t="s">
        <v>29</v>
      </c>
      <c r="B32" s="6" t="s">
        <v>29</v>
      </c>
      <c r="C32" s="7" t="str">
        <f>IF(A32="","",IFERROR(IF(VLOOKUP(B32,Bibliotheques!$A$10:$B$59,2,FALSE)=0,"Nom manquant",VLOOKUP(B32,Bibliotheques!$A$10:$B$59,2,FALSE)),"Clé inconnue"))</f>
        <v/>
      </c>
      <c r="D32" s="6" t="s">
        <v>29</v>
      </c>
      <c r="E32" s="7" t="str">
        <f t="shared" si="0"/>
        <v/>
      </c>
      <c r="F32" s="6" t="s">
        <v>29</v>
      </c>
      <c r="G32" s="6" t="s">
        <v>29</v>
      </c>
      <c r="H32" s="8" t="str">
        <f>IF(A32="","",Bibliotheques!$B$5&amp;IF(RIGHT(Bibliotheques!$B$5,1)="/","","/")&amp;SUBSTITUTE(A32," ","%20"))</f>
        <v/>
      </c>
      <c r="I32" s="6" t="s">
        <v>29</v>
      </c>
      <c r="J32" s="6" t="s">
        <v>29</v>
      </c>
    </row>
    <row r="33" spans="1:10" ht="33.950000000000003" customHeight="1">
      <c r="A33" s="6" t="s">
        <v>29</v>
      </c>
      <c r="B33" s="6" t="s">
        <v>29</v>
      </c>
      <c r="C33" s="7" t="str">
        <f>IF(A33="","",IFERROR(IF(VLOOKUP(B33,Bibliotheques!$A$10:$B$59,2,FALSE)=0,"Nom manquant",VLOOKUP(B33,Bibliotheques!$A$10:$B$59,2,FALSE)),"Clé inconnue"))</f>
        <v/>
      </c>
      <c r="D33" s="6" t="s">
        <v>29</v>
      </c>
      <c r="E33" s="7" t="str">
        <f t="shared" si="0"/>
        <v/>
      </c>
      <c r="F33" s="6" t="s">
        <v>29</v>
      </c>
      <c r="G33" s="6" t="s">
        <v>29</v>
      </c>
      <c r="H33" s="8" t="str">
        <f>IF(A33="","",Bibliotheques!$B$5&amp;IF(RIGHT(Bibliotheques!$B$5,1)="/","","/")&amp;SUBSTITUTE(A33," ","%20"))</f>
        <v/>
      </c>
      <c r="I33" s="6" t="s">
        <v>29</v>
      </c>
      <c r="J33" s="6" t="s">
        <v>29</v>
      </c>
    </row>
    <row r="34" spans="1:10" ht="33.950000000000003" customHeight="1">
      <c r="A34" s="6" t="s">
        <v>29</v>
      </c>
      <c r="B34" s="6" t="s">
        <v>29</v>
      </c>
      <c r="C34" s="7" t="str">
        <f>IF(A34="","",IFERROR(IF(VLOOKUP(B34,Bibliotheques!$A$10:$B$59,2,FALSE)=0,"Nom manquant",VLOOKUP(B34,Bibliotheques!$A$10:$B$59,2,FALSE)),"Clé inconnue"))</f>
        <v/>
      </c>
      <c r="D34" s="6" t="s">
        <v>29</v>
      </c>
      <c r="E34" s="7" t="str">
        <f t="shared" si="0"/>
        <v/>
      </c>
      <c r="F34" s="6" t="s">
        <v>29</v>
      </c>
      <c r="G34" s="6" t="s">
        <v>29</v>
      </c>
      <c r="H34" s="8" t="str">
        <f>IF(A34="","",Bibliotheques!$B$5&amp;IF(RIGHT(Bibliotheques!$B$5,1)="/","","/")&amp;SUBSTITUTE(A34," ","%20"))</f>
        <v/>
      </c>
      <c r="I34" s="6" t="s">
        <v>29</v>
      </c>
      <c r="J34" s="6" t="s">
        <v>29</v>
      </c>
    </row>
    <row r="35" spans="1:10" ht="33.950000000000003" customHeight="1">
      <c r="A35" s="6" t="s">
        <v>29</v>
      </c>
      <c r="B35" s="6" t="s">
        <v>29</v>
      </c>
      <c r="C35" s="7" t="str">
        <f>IF(A35="","",IFERROR(IF(VLOOKUP(B35,Bibliotheques!$A$10:$B$59,2,FALSE)=0,"Nom manquant",VLOOKUP(B35,Bibliotheques!$A$10:$B$59,2,FALSE)),"Clé inconnue"))</f>
        <v/>
      </c>
      <c r="D35" s="6" t="s">
        <v>29</v>
      </c>
      <c r="E35" s="7" t="str">
        <f t="shared" si="0"/>
        <v/>
      </c>
      <c r="F35" s="6" t="s">
        <v>29</v>
      </c>
      <c r="G35" s="6" t="s">
        <v>29</v>
      </c>
      <c r="H35" s="8" t="str">
        <f>IF(A35="","",Bibliotheques!$B$5&amp;IF(RIGHT(Bibliotheques!$B$5,1)="/","","/")&amp;SUBSTITUTE(A35," ","%20"))</f>
        <v/>
      </c>
      <c r="I35" s="6" t="s">
        <v>29</v>
      </c>
      <c r="J35" s="6" t="s">
        <v>29</v>
      </c>
    </row>
    <row r="36" spans="1:10" ht="33.950000000000003" customHeight="1">
      <c r="A36" s="6" t="s">
        <v>29</v>
      </c>
      <c r="B36" s="6" t="s">
        <v>29</v>
      </c>
      <c r="C36" s="7" t="str">
        <f>IF(A36="","",IFERROR(IF(VLOOKUP(B36,Bibliotheques!$A$10:$B$59,2,FALSE)=0,"Nom manquant",VLOOKUP(B36,Bibliotheques!$A$10:$B$59,2,FALSE)),"Clé inconnue"))</f>
        <v/>
      </c>
      <c r="D36" s="6" t="s">
        <v>29</v>
      </c>
      <c r="E36" s="7" t="str">
        <f t="shared" si="0"/>
        <v/>
      </c>
      <c r="F36" s="6" t="s">
        <v>29</v>
      </c>
      <c r="G36" s="6" t="s">
        <v>29</v>
      </c>
      <c r="H36" s="8" t="str">
        <f>IF(A36="","",Bibliotheques!$B$5&amp;IF(RIGHT(Bibliotheques!$B$5,1)="/","","/")&amp;SUBSTITUTE(A36," ","%20"))</f>
        <v/>
      </c>
      <c r="I36" s="6" t="s">
        <v>29</v>
      </c>
      <c r="J36" s="6" t="s">
        <v>29</v>
      </c>
    </row>
    <row r="37" spans="1:10" ht="33.950000000000003" customHeight="1">
      <c r="A37" s="6" t="s">
        <v>29</v>
      </c>
      <c r="B37" s="6" t="s">
        <v>29</v>
      </c>
      <c r="C37" s="7" t="str">
        <f>IF(A37="","",IFERROR(IF(VLOOKUP(B37,Bibliotheques!$A$10:$B$59,2,FALSE)=0,"Nom manquant",VLOOKUP(B37,Bibliotheques!$A$10:$B$59,2,FALSE)),"Clé inconnue"))</f>
        <v/>
      </c>
      <c r="D37" s="6" t="s">
        <v>29</v>
      </c>
      <c r="E37" s="7" t="str">
        <f t="shared" si="0"/>
        <v/>
      </c>
      <c r="F37" s="6" t="s">
        <v>29</v>
      </c>
      <c r="G37" s="6" t="s">
        <v>29</v>
      </c>
      <c r="H37" s="8" t="str">
        <f>IF(A37="","",Bibliotheques!$B$5&amp;IF(RIGHT(Bibliotheques!$B$5,1)="/","","/")&amp;SUBSTITUTE(A37," ","%20"))</f>
        <v/>
      </c>
      <c r="I37" s="6" t="s">
        <v>29</v>
      </c>
      <c r="J37" s="6" t="s">
        <v>29</v>
      </c>
    </row>
    <row r="38" spans="1:10" ht="33.950000000000003" customHeight="1">
      <c r="A38" s="6" t="s">
        <v>29</v>
      </c>
      <c r="B38" s="6" t="s">
        <v>29</v>
      </c>
      <c r="C38" s="7" t="str">
        <f>IF(A38="","",IFERROR(IF(VLOOKUP(B38,Bibliotheques!$A$10:$B$59,2,FALSE)=0,"Nom manquant",VLOOKUP(B38,Bibliotheques!$A$10:$B$59,2,FALSE)),"Clé inconnue"))</f>
        <v/>
      </c>
      <c r="D38" s="6" t="s">
        <v>29</v>
      </c>
      <c r="E38" s="7" t="str">
        <f t="shared" si="0"/>
        <v/>
      </c>
      <c r="F38" s="6" t="s">
        <v>29</v>
      </c>
      <c r="G38" s="6" t="s">
        <v>29</v>
      </c>
      <c r="H38" s="8" t="str">
        <f>IF(A38="","",Bibliotheques!$B$5&amp;IF(RIGHT(Bibliotheques!$B$5,1)="/","","/")&amp;SUBSTITUTE(A38," ","%20"))</f>
        <v/>
      </c>
      <c r="I38" s="6" t="s">
        <v>29</v>
      </c>
      <c r="J38" s="6" t="s">
        <v>29</v>
      </c>
    </row>
    <row r="39" spans="1:10" ht="33.950000000000003" customHeight="1">
      <c r="A39" s="6" t="s">
        <v>29</v>
      </c>
      <c r="B39" s="6" t="s">
        <v>29</v>
      </c>
      <c r="C39" s="7" t="str">
        <f>IF(A39="","",IFERROR(IF(VLOOKUP(B39,Bibliotheques!$A$10:$B$59,2,FALSE)=0,"Nom manquant",VLOOKUP(B39,Bibliotheques!$A$10:$B$59,2,FALSE)),"Clé inconnue"))</f>
        <v/>
      </c>
      <c r="D39" s="6" t="s">
        <v>29</v>
      </c>
      <c r="E39" s="7" t="str">
        <f t="shared" si="0"/>
        <v/>
      </c>
      <c r="F39" s="6" t="s">
        <v>29</v>
      </c>
      <c r="G39" s="6" t="s">
        <v>29</v>
      </c>
      <c r="H39" s="8" t="str">
        <f>IF(A39="","",Bibliotheques!$B$5&amp;IF(RIGHT(Bibliotheques!$B$5,1)="/","","/")&amp;SUBSTITUTE(A39," ","%20"))</f>
        <v/>
      </c>
      <c r="I39" s="6" t="s">
        <v>29</v>
      </c>
      <c r="J39" s="6" t="s">
        <v>29</v>
      </c>
    </row>
    <row r="40" spans="1:10" ht="33.950000000000003" customHeight="1">
      <c r="A40" s="6" t="s">
        <v>29</v>
      </c>
      <c r="B40" s="6" t="s">
        <v>29</v>
      </c>
      <c r="C40" s="7" t="str">
        <f>IF(A40="","",IFERROR(IF(VLOOKUP(B40,Bibliotheques!$A$10:$B$59,2,FALSE)=0,"Nom manquant",VLOOKUP(B40,Bibliotheques!$A$10:$B$59,2,FALSE)),"Clé inconnue"))</f>
        <v/>
      </c>
      <c r="D40" s="6" t="s">
        <v>29</v>
      </c>
      <c r="E40" s="7" t="str">
        <f t="shared" si="0"/>
        <v/>
      </c>
      <c r="F40" s="6" t="s">
        <v>29</v>
      </c>
      <c r="G40" s="6" t="s">
        <v>29</v>
      </c>
      <c r="H40" s="8" t="str">
        <f>IF(A40="","",Bibliotheques!$B$5&amp;IF(RIGHT(Bibliotheques!$B$5,1)="/","","/")&amp;SUBSTITUTE(A40," ","%20"))</f>
        <v/>
      </c>
      <c r="I40" s="6" t="s">
        <v>29</v>
      </c>
      <c r="J40" s="6" t="s">
        <v>29</v>
      </c>
    </row>
    <row r="41" spans="1:10" ht="33.950000000000003" customHeight="1">
      <c r="A41" s="6" t="s">
        <v>29</v>
      </c>
      <c r="B41" s="6" t="s">
        <v>29</v>
      </c>
      <c r="C41" s="7" t="str">
        <f>IF(A41="","",IFERROR(IF(VLOOKUP(B41,Bibliotheques!$A$10:$B$59,2,FALSE)=0,"Nom manquant",VLOOKUP(B41,Bibliotheques!$A$10:$B$59,2,FALSE)),"Clé inconnue"))</f>
        <v/>
      </c>
      <c r="D41" s="6" t="s">
        <v>29</v>
      </c>
      <c r="E41" s="7" t="str">
        <f t="shared" si="0"/>
        <v/>
      </c>
      <c r="F41" s="6" t="s">
        <v>29</v>
      </c>
      <c r="G41" s="6" t="s">
        <v>29</v>
      </c>
      <c r="H41" s="8" t="str">
        <f>IF(A41="","",Bibliotheques!$B$5&amp;IF(RIGHT(Bibliotheques!$B$5,1)="/","","/")&amp;SUBSTITUTE(A41," ","%20"))</f>
        <v/>
      </c>
      <c r="I41" s="6" t="s">
        <v>29</v>
      </c>
      <c r="J41" s="6" t="s">
        <v>29</v>
      </c>
    </row>
    <row r="42" spans="1:10" ht="33.950000000000003" customHeight="1">
      <c r="A42" s="6" t="s">
        <v>29</v>
      </c>
      <c r="B42" s="6" t="s">
        <v>29</v>
      </c>
      <c r="C42" s="7" t="str">
        <f>IF(A42="","",IFERROR(IF(VLOOKUP(B42,Bibliotheques!$A$10:$B$59,2,FALSE)=0,"Nom manquant",VLOOKUP(B42,Bibliotheques!$A$10:$B$59,2,FALSE)),"Clé inconnue"))</f>
        <v/>
      </c>
      <c r="D42" s="6" t="s">
        <v>29</v>
      </c>
      <c r="E42" s="7" t="str">
        <f t="shared" si="0"/>
        <v/>
      </c>
      <c r="F42" s="6" t="s">
        <v>29</v>
      </c>
      <c r="G42" s="6" t="s">
        <v>29</v>
      </c>
      <c r="H42" s="8" t="str">
        <f>IF(A42="","",Bibliotheques!$B$5&amp;IF(RIGHT(Bibliotheques!$B$5,1)="/","","/")&amp;SUBSTITUTE(A42," ","%20"))</f>
        <v/>
      </c>
      <c r="I42" s="6" t="s">
        <v>29</v>
      </c>
      <c r="J42" s="6" t="s">
        <v>29</v>
      </c>
    </row>
    <row r="43" spans="1:10" ht="33.950000000000003" customHeight="1">
      <c r="A43" s="6" t="s">
        <v>29</v>
      </c>
      <c r="B43" s="6" t="s">
        <v>29</v>
      </c>
      <c r="C43" s="7" t="str">
        <f>IF(A43="","",IFERROR(IF(VLOOKUP(B43,Bibliotheques!$A$10:$B$59,2,FALSE)=0,"Nom manquant",VLOOKUP(B43,Bibliotheques!$A$10:$B$59,2,FALSE)),"Clé inconnue"))</f>
        <v/>
      </c>
      <c r="D43" s="6" t="s">
        <v>29</v>
      </c>
      <c r="E43" s="7" t="str">
        <f t="shared" si="0"/>
        <v/>
      </c>
      <c r="F43" s="6" t="s">
        <v>29</v>
      </c>
      <c r="G43" s="6" t="s">
        <v>29</v>
      </c>
      <c r="H43" s="8" t="str">
        <f>IF(A43="","",Bibliotheques!$B$5&amp;IF(RIGHT(Bibliotheques!$B$5,1)="/","","/")&amp;SUBSTITUTE(A43," ","%20"))</f>
        <v/>
      </c>
      <c r="I43" s="6" t="s">
        <v>29</v>
      </c>
      <c r="J43" s="6" t="s">
        <v>29</v>
      </c>
    </row>
    <row r="44" spans="1:10" ht="33.950000000000003" customHeight="1">
      <c r="A44" s="6" t="s">
        <v>29</v>
      </c>
      <c r="B44" s="6" t="s">
        <v>29</v>
      </c>
      <c r="C44" s="7" t="str">
        <f>IF(A44="","",IFERROR(IF(VLOOKUP(B44,Bibliotheques!$A$10:$B$59,2,FALSE)=0,"Nom manquant",VLOOKUP(B44,Bibliotheques!$A$10:$B$59,2,FALSE)),"Clé inconnue"))</f>
        <v/>
      </c>
      <c r="D44" s="6" t="s">
        <v>29</v>
      </c>
      <c r="E44" s="7" t="str">
        <f t="shared" si="0"/>
        <v/>
      </c>
      <c r="F44" s="6" t="s">
        <v>29</v>
      </c>
      <c r="G44" s="6" t="s">
        <v>29</v>
      </c>
      <c r="H44" s="8" t="str">
        <f>IF(A44="","",Bibliotheques!$B$5&amp;IF(RIGHT(Bibliotheques!$B$5,1)="/","","/")&amp;SUBSTITUTE(A44," ","%20"))</f>
        <v/>
      </c>
      <c r="I44" s="6" t="s">
        <v>29</v>
      </c>
      <c r="J44" s="6" t="s">
        <v>29</v>
      </c>
    </row>
    <row r="45" spans="1:10" ht="33.950000000000003" customHeight="1">
      <c r="A45" s="6" t="s">
        <v>29</v>
      </c>
      <c r="B45" s="6" t="s">
        <v>29</v>
      </c>
      <c r="C45" s="7" t="str">
        <f>IF(A45="","",IFERROR(IF(VLOOKUP(B45,Bibliotheques!$A$10:$B$59,2,FALSE)=0,"Nom manquant",VLOOKUP(B45,Bibliotheques!$A$10:$B$59,2,FALSE)),"Clé inconnue"))</f>
        <v/>
      </c>
      <c r="D45" s="6" t="s">
        <v>29</v>
      </c>
      <c r="E45" s="7" t="str">
        <f t="shared" si="0"/>
        <v/>
      </c>
      <c r="F45" s="6" t="s">
        <v>29</v>
      </c>
      <c r="G45" s="6" t="s">
        <v>29</v>
      </c>
      <c r="H45" s="8" t="str">
        <f>IF(A45="","",Bibliotheques!$B$5&amp;IF(RIGHT(Bibliotheques!$B$5,1)="/","","/")&amp;SUBSTITUTE(A45," ","%20"))</f>
        <v/>
      </c>
      <c r="I45" s="6" t="s">
        <v>29</v>
      </c>
      <c r="J45" s="6" t="s">
        <v>29</v>
      </c>
    </row>
    <row r="46" spans="1:10" ht="33.950000000000003" customHeight="1">
      <c r="A46" s="6" t="s">
        <v>29</v>
      </c>
      <c r="B46" s="6" t="s">
        <v>29</v>
      </c>
      <c r="C46" s="7" t="str">
        <f>IF(A46="","",IFERROR(IF(VLOOKUP(B46,Bibliotheques!$A$10:$B$59,2,FALSE)=0,"Nom manquant",VLOOKUP(B46,Bibliotheques!$A$10:$B$59,2,FALSE)),"Clé inconnue"))</f>
        <v/>
      </c>
      <c r="D46" s="6" t="s">
        <v>29</v>
      </c>
      <c r="E46" s="7" t="str">
        <f t="shared" si="0"/>
        <v/>
      </c>
      <c r="F46" s="6" t="s">
        <v>29</v>
      </c>
      <c r="G46" s="6" t="s">
        <v>29</v>
      </c>
      <c r="H46" s="8" t="str">
        <f>IF(A46="","",Bibliotheques!$B$5&amp;IF(RIGHT(Bibliotheques!$B$5,1)="/","","/")&amp;SUBSTITUTE(A46," ","%20"))</f>
        <v/>
      </c>
      <c r="I46" s="6" t="s">
        <v>29</v>
      </c>
      <c r="J46" s="6" t="s">
        <v>29</v>
      </c>
    </row>
    <row r="47" spans="1:10" ht="33.950000000000003" customHeight="1">
      <c r="A47" s="6" t="s">
        <v>29</v>
      </c>
      <c r="B47" s="6" t="s">
        <v>29</v>
      </c>
      <c r="C47" s="7" t="str">
        <f>IF(A47="","",IFERROR(IF(VLOOKUP(B47,Bibliotheques!$A$10:$B$59,2,FALSE)=0,"Nom manquant",VLOOKUP(B47,Bibliotheques!$A$10:$B$59,2,FALSE)),"Clé inconnue"))</f>
        <v/>
      </c>
      <c r="D47" s="6" t="s">
        <v>29</v>
      </c>
      <c r="E47" s="7" t="str">
        <f t="shared" si="0"/>
        <v/>
      </c>
      <c r="F47" s="6" t="s">
        <v>29</v>
      </c>
      <c r="G47" s="6" t="s">
        <v>29</v>
      </c>
      <c r="H47" s="8" t="str">
        <f>IF(A47="","",Bibliotheques!$B$5&amp;IF(RIGHT(Bibliotheques!$B$5,1)="/","","/")&amp;SUBSTITUTE(A47," ","%20"))</f>
        <v/>
      </c>
      <c r="I47" s="6" t="s">
        <v>29</v>
      </c>
      <c r="J47" s="6" t="s">
        <v>29</v>
      </c>
    </row>
    <row r="48" spans="1:10" ht="33.950000000000003" customHeight="1">
      <c r="A48" s="6" t="s">
        <v>29</v>
      </c>
      <c r="B48" s="6" t="s">
        <v>29</v>
      </c>
      <c r="C48" s="7" t="str">
        <f>IF(A48="","",IFERROR(IF(VLOOKUP(B48,Bibliotheques!$A$10:$B$59,2,FALSE)=0,"Nom manquant",VLOOKUP(B48,Bibliotheques!$A$10:$B$59,2,FALSE)),"Clé inconnue"))</f>
        <v/>
      </c>
      <c r="D48" s="6" t="s">
        <v>29</v>
      </c>
      <c r="E48" s="7" t="str">
        <f t="shared" si="0"/>
        <v/>
      </c>
      <c r="F48" s="6" t="s">
        <v>29</v>
      </c>
      <c r="G48" s="6" t="s">
        <v>29</v>
      </c>
      <c r="H48" s="8" t="str">
        <f>IF(A48="","",Bibliotheques!$B$5&amp;IF(RIGHT(Bibliotheques!$B$5,1)="/","","/")&amp;SUBSTITUTE(A48," ","%20"))</f>
        <v/>
      </c>
      <c r="I48" s="6" t="s">
        <v>29</v>
      </c>
      <c r="J48" s="6" t="s">
        <v>29</v>
      </c>
    </row>
    <row r="49" spans="1:10" ht="33.950000000000003" customHeight="1">
      <c r="A49" s="6" t="s">
        <v>29</v>
      </c>
      <c r="B49" s="6" t="s">
        <v>29</v>
      </c>
      <c r="C49" s="7" t="str">
        <f>IF(A49="","",IFERROR(IF(VLOOKUP(B49,Bibliotheques!$A$10:$B$59,2,FALSE)=0,"Nom manquant",VLOOKUP(B49,Bibliotheques!$A$10:$B$59,2,FALSE)),"Clé inconnue"))</f>
        <v/>
      </c>
      <c r="D49" s="6" t="s">
        <v>29</v>
      </c>
      <c r="E49" s="7" t="str">
        <f t="shared" si="0"/>
        <v/>
      </c>
      <c r="F49" s="6" t="s">
        <v>29</v>
      </c>
      <c r="G49" s="6" t="s">
        <v>29</v>
      </c>
      <c r="H49" s="8" t="str">
        <f>IF(A49="","",Bibliotheques!$B$5&amp;IF(RIGHT(Bibliotheques!$B$5,1)="/","","/")&amp;SUBSTITUTE(A49," ","%20"))</f>
        <v/>
      </c>
      <c r="I49" s="6" t="s">
        <v>29</v>
      </c>
      <c r="J49" s="6" t="s">
        <v>29</v>
      </c>
    </row>
    <row r="50" spans="1:10" ht="33.950000000000003" customHeight="1">
      <c r="A50" s="6" t="s">
        <v>29</v>
      </c>
      <c r="B50" s="6" t="s">
        <v>29</v>
      </c>
      <c r="C50" s="7" t="str">
        <f>IF(A50="","",IFERROR(IF(VLOOKUP(B50,Bibliotheques!$A$10:$B$59,2,FALSE)=0,"Nom manquant",VLOOKUP(B50,Bibliotheques!$A$10:$B$59,2,FALSE)),"Clé inconnue"))</f>
        <v/>
      </c>
      <c r="D50" s="6" t="s">
        <v>29</v>
      </c>
      <c r="E50" s="7" t="str">
        <f t="shared" si="0"/>
        <v/>
      </c>
      <c r="F50" s="6" t="s">
        <v>29</v>
      </c>
      <c r="G50" s="6" t="s">
        <v>29</v>
      </c>
      <c r="H50" s="8" t="str">
        <f>IF(A50="","",Bibliotheques!$B$5&amp;IF(RIGHT(Bibliotheques!$B$5,1)="/","","/")&amp;SUBSTITUTE(A50," ","%20"))</f>
        <v/>
      </c>
      <c r="I50" s="6" t="s">
        <v>29</v>
      </c>
      <c r="J50" s="6" t="s">
        <v>29</v>
      </c>
    </row>
    <row r="51" spans="1:10" ht="33.950000000000003" customHeight="1">
      <c r="A51" s="6" t="s">
        <v>29</v>
      </c>
      <c r="B51" s="6" t="s">
        <v>29</v>
      </c>
      <c r="C51" s="7" t="str">
        <f>IF(A51="","",IFERROR(IF(VLOOKUP(B51,Bibliotheques!$A$10:$B$59,2,FALSE)=0,"Nom manquant",VLOOKUP(B51,Bibliotheques!$A$10:$B$59,2,FALSE)),"Clé inconnue"))</f>
        <v/>
      </c>
      <c r="D51" s="6" t="s">
        <v>29</v>
      </c>
      <c r="E51" s="7" t="str">
        <f t="shared" si="0"/>
        <v/>
      </c>
      <c r="F51" s="6" t="s">
        <v>29</v>
      </c>
      <c r="G51" s="6" t="s">
        <v>29</v>
      </c>
      <c r="H51" s="8" t="str">
        <f>IF(A51="","",Bibliotheques!$B$5&amp;IF(RIGHT(Bibliotheques!$B$5,1)="/","","/")&amp;SUBSTITUTE(A51," ","%20"))</f>
        <v/>
      </c>
      <c r="I51" s="6" t="s">
        <v>29</v>
      </c>
      <c r="J51" s="6" t="s">
        <v>29</v>
      </c>
    </row>
    <row r="52" spans="1:10" ht="33.950000000000003" customHeight="1">
      <c r="A52" s="6" t="s">
        <v>29</v>
      </c>
      <c r="B52" s="6" t="s">
        <v>29</v>
      </c>
      <c r="C52" s="7" t="str">
        <f>IF(A52="","",IFERROR(IF(VLOOKUP(B52,Bibliotheques!$A$10:$B$59,2,FALSE)=0,"Nom manquant",VLOOKUP(B52,Bibliotheques!$A$10:$B$59,2,FALSE)),"Clé inconnue"))</f>
        <v/>
      </c>
      <c r="D52" s="6" t="s">
        <v>29</v>
      </c>
      <c r="E52" s="7" t="str">
        <f t="shared" si="0"/>
        <v/>
      </c>
      <c r="F52" s="6" t="s">
        <v>29</v>
      </c>
      <c r="G52" s="6" t="s">
        <v>29</v>
      </c>
      <c r="H52" s="8" t="str">
        <f>IF(A52="","",Bibliotheques!$B$5&amp;IF(RIGHT(Bibliotheques!$B$5,1)="/","","/")&amp;SUBSTITUTE(A52," ","%20"))</f>
        <v/>
      </c>
      <c r="I52" s="6" t="s">
        <v>29</v>
      </c>
      <c r="J52" s="6" t="s">
        <v>29</v>
      </c>
    </row>
    <row r="53" spans="1:10" ht="33.950000000000003" customHeight="1">
      <c r="A53" s="6" t="s">
        <v>29</v>
      </c>
      <c r="B53" s="6" t="s">
        <v>29</v>
      </c>
      <c r="C53" s="7" t="str">
        <f>IF(A53="","",IFERROR(IF(VLOOKUP(B53,Bibliotheques!$A$10:$B$59,2,FALSE)=0,"Nom manquant",VLOOKUP(B53,Bibliotheques!$A$10:$B$59,2,FALSE)),"Clé inconnue"))</f>
        <v/>
      </c>
      <c r="D53" s="6" t="s">
        <v>29</v>
      </c>
      <c r="E53" s="7" t="str">
        <f t="shared" si="0"/>
        <v/>
      </c>
      <c r="F53" s="6" t="s">
        <v>29</v>
      </c>
      <c r="G53" s="6" t="s">
        <v>29</v>
      </c>
      <c r="H53" s="8" t="str">
        <f>IF(A53="","",Bibliotheques!$B$5&amp;IF(RIGHT(Bibliotheques!$B$5,1)="/","","/")&amp;SUBSTITUTE(A53," ","%20"))</f>
        <v/>
      </c>
      <c r="I53" s="6" t="s">
        <v>29</v>
      </c>
      <c r="J53" s="6" t="s">
        <v>29</v>
      </c>
    </row>
    <row r="54" spans="1:10" ht="33.950000000000003" customHeight="1">
      <c r="A54" s="6" t="s">
        <v>29</v>
      </c>
      <c r="B54" s="6" t="s">
        <v>29</v>
      </c>
      <c r="C54" s="7" t="str">
        <f>IF(A54="","",IFERROR(IF(VLOOKUP(B54,Bibliotheques!$A$10:$B$59,2,FALSE)=0,"Nom manquant",VLOOKUP(B54,Bibliotheques!$A$10:$B$59,2,FALSE)),"Clé inconnue"))</f>
        <v/>
      </c>
      <c r="D54" s="6" t="s">
        <v>29</v>
      </c>
      <c r="E54" s="7" t="str">
        <f t="shared" si="0"/>
        <v/>
      </c>
      <c r="F54" s="6" t="s">
        <v>29</v>
      </c>
      <c r="G54" s="6" t="s">
        <v>29</v>
      </c>
      <c r="H54" s="8" t="str">
        <f>IF(A54="","",Bibliotheques!$B$5&amp;IF(RIGHT(Bibliotheques!$B$5,1)="/","","/")&amp;SUBSTITUTE(A54," ","%20"))</f>
        <v/>
      </c>
      <c r="I54" s="6" t="s">
        <v>29</v>
      </c>
      <c r="J54" s="6" t="s">
        <v>29</v>
      </c>
    </row>
    <row r="55" spans="1:10" ht="33.950000000000003" customHeight="1">
      <c r="A55" s="6" t="s">
        <v>29</v>
      </c>
      <c r="B55" s="6" t="s">
        <v>29</v>
      </c>
      <c r="C55" s="7" t="str">
        <f>IF(A55="","",IFERROR(IF(VLOOKUP(B55,Bibliotheques!$A$10:$B$59,2,FALSE)=0,"Nom manquant",VLOOKUP(B55,Bibliotheques!$A$10:$B$59,2,FALSE)),"Clé inconnue"))</f>
        <v/>
      </c>
      <c r="D55" s="6" t="s">
        <v>29</v>
      </c>
      <c r="E55" s="7" t="str">
        <f t="shared" si="0"/>
        <v/>
      </c>
      <c r="F55" s="6" t="s">
        <v>29</v>
      </c>
      <c r="G55" s="6" t="s">
        <v>29</v>
      </c>
      <c r="H55" s="8" t="str">
        <f>IF(A55="","",Bibliotheques!$B$5&amp;IF(RIGHT(Bibliotheques!$B$5,1)="/","","/")&amp;SUBSTITUTE(A55," ","%20"))</f>
        <v/>
      </c>
      <c r="I55" s="6" t="s">
        <v>29</v>
      </c>
      <c r="J55" s="6" t="s">
        <v>29</v>
      </c>
    </row>
    <row r="56" spans="1:10" ht="33.950000000000003" customHeight="1">
      <c r="A56" s="6" t="s">
        <v>29</v>
      </c>
      <c r="B56" s="6" t="s">
        <v>29</v>
      </c>
      <c r="C56" s="7" t="str">
        <f>IF(A56="","",IFERROR(IF(VLOOKUP(B56,Bibliotheques!$A$10:$B$59,2,FALSE)=0,"Nom manquant",VLOOKUP(B56,Bibliotheques!$A$10:$B$59,2,FALSE)),"Clé inconnue"))</f>
        <v/>
      </c>
      <c r="D56" s="6" t="s">
        <v>29</v>
      </c>
      <c r="E56" s="7" t="str">
        <f t="shared" si="0"/>
        <v/>
      </c>
      <c r="F56" s="6" t="s">
        <v>29</v>
      </c>
      <c r="G56" s="6" t="s">
        <v>29</v>
      </c>
      <c r="H56" s="8" t="str">
        <f>IF(A56="","",Bibliotheques!$B$5&amp;IF(RIGHT(Bibliotheques!$B$5,1)="/","","/")&amp;SUBSTITUTE(A56," ","%20"))</f>
        <v/>
      </c>
      <c r="I56" s="6" t="s">
        <v>29</v>
      </c>
      <c r="J56" s="6" t="s">
        <v>29</v>
      </c>
    </row>
    <row r="57" spans="1:10" ht="33.950000000000003" customHeight="1">
      <c r="A57" s="6" t="s">
        <v>29</v>
      </c>
      <c r="B57" s="6" t="s">
        <v>29</v>
      </c>
      <c r="C57" s="7" t="str">
        <f>IF(A57="","",IFERROR(IF(VLOOKUP(B57,Bibliotheques!$A$10:$B$59,2,FALSE)=0,"Nom manquant",VLOOKUP(B57,Bibliotheques!$A$10:$B$59,2,FALSE)),"Clé inconnue"))</f>
        <v/>
      </c>
      <c r="D57" s="6" t="s">
        <v>29</v>
      </c>
      <c r="E57" s="7" t="str">
        <f t="shared" si="0"/>
        <v/>
      </c>
      <c r="F57" s="6" t="s">
        <v>29</v>
      </c>
      <c r="G57" s="6" t="s">
        <v>29</v>
      </c>
      <c r="H57" s="8" t="str">
        <f>IF(A57="","",Bibliotheques!$B$5&amp;IF(RIGHT(Bibliotheques!$B$5,1)="/","","/")&amp;SUBSTITUTE(A57," ","%20"))</f>
        <v/>
      </c>
      <c r="I57" s="6" t="s">
        <v>29</v>
      </c>
      <c r="J57" s="6" t="s">
        <v>29</v>
      </c>
    </row>
    <row r="58" spans="1:10" ht="33.950000000000003" customHeight="1">
      <c r="A58" s="6" t="s">
        <v>29</v>
      </c>
      <c r="B58" s="6" t="s">
        <v>29</v>
      </c>
      <c r="C58" s="7" t="str">
        <f>IF(A58="","",IFERROR(IF(VLOOKUP(B58,Bibliotheques!$A$10:$B$59,2,FALSE)=0,"Nom manquant",VLOOKUP(B58,Bibliotheques!$A$10:$B$59,2,FALSE)),"Clé inconnue"))</f>
        <v/>
      </c>
      <c r="D58" s="6" t="s">
        <v>29</v>
      </c>
      <c r="E58" s="7" t="str">
        <f t="shared" si="0"/>
        <v/>
      </c>
      <c r="F58" s="6" t="s">
        <v>29</v>
      </c>
      <c r="G58" s="6" t="s">
        <v>29</v>
      </c>
      <c r="H58" s="8" t="str">
        <f>IF(A58="","",Bibliotheques!$B$5&amp;IF(RIGHT(Bibliotheques!$B$5,1)="/","","/")&amp;SUBSTITUTE(A58," ","%20"))</f>
        <v/>
      </c>
      <c r="I58" s="6" t="s">
        <v>29</v>
      </c>
      <c r="J58" s="6" t="s">
        <v>29</v>
      </c>
    </row>
    <row r="59" spans="1:10" ht="33.950000000000003" customHeight="1">
      <c r="A59" s="6" t="s">
        <v>29</v>
      </c>
      <c r="B59" s="6" t="s">
        <v>29</v>
      </c>
      <c r="C59" s="7" t="str">
        <f>IF(A59="","",IFERROR(IF(VLOOKUP(B59,Bibliotheques!$A$10:$B$59,2,FALSE)=0,"Nom manquant",VLOOKUP(B59,Bibliotheques!$A$10:$B$59,2,FALSE)),"Clé inconnue"))</f>
        <v/>
      </c>
      <c r="D59" s="6" t="s">
        <v>29</v>
      </c>
      <c r="E59" s="7" t="str">
        <f t="shared" si="0"/>
        <v/>
      </c>
      <c r="F59" s="6" t="s">
        <v>29</v>
      </c>
      <c r="G59" s="6" t="s">
        <v>29</v>
      </c>
      <c r="H59" s="8" t="str">
        <f>IF(A59="","",Bibliotheques!$B$5&amp;IF(RIGHT(Bibliotheques!$B$5,1)="/","","/")&amp;SUBSTITUTE(A59," ","%20"))</f>
        <v/>
      </c>
      <c r="I59" s="6" t="s">
        <v>29</v>
      </c>
      <c r="J59" s="6" t="s">
        <v>29</v>
      </c>
    </row>
    <row r="60" spans="1:10" ht="33.950000000000003" customHeight="1">
      <c r="A60" s="6" t="s">
        <v>29</v>
      </c>
      <c r="B60" s="6" t="s">
        <v>29</v>
      </c>
      <c r="C60" s="7" t="str">
        <f>IF(A60="","",IFERROR(IF(VLOOKUP(B60,Bibliotheques!$A$10:$B$59,2,FALSE)=0,"Nom manquant",VLOOKUP(B60,Bibliotheques!$A$10:$B$59,2,FALSE)),"Clé inconnue"))</f>
        <v/>
      </c>
      <c r="D60" s="6" t="s">
        <v>29</v>
      </c>
      <c r="E60" s="7" t="str">
        <f t="shared" si="0"/>
        <v/>
      </c>
      <c r="F60" s="6" t="s">
        <v>29</v>
      </c>
      <c r="G60" s="6" t="s">
        <v>29</v>
      </c>
      <c r="H60" s="8" t="str">
        <f>IF(A60="","",Bibliotheques!$B$5&amp;IF(RIGHT(Bibliotheques!$B$5,1)="/","","/")&amp;SUBSTITUTE(A60," ","%20"))</f>
        <v/>
      </c>
      <c r="I60" s="6" t="s">
        <v>29</v>
      </c>
      <c r="J60" s="6" t="s">
        <v>29</v>
      </c>
    </row>
    <row r="61" spans="1:10" ht="33.950000000000003" customHeight="1">
      <c r="A61" s="6" t="s">
        <v>29</v>
      </c>
      <c r="B61" s="6" t="s">
        <v>29</v>
      </c>
      <c r="C61" s="7" t="str">
        <f>IF(A61="","",IFERROR(IF(VLOOKUP(B61,Bibliotheques!$A$10:$B$59,2,FALSE)=0,"Nom manquant",VLOOKUP(B61,Bibliotheques!$A$10:$B$59,2,FALSE)),"Clé inconnue"))</f>
        <v/>
      </c>
      <c r="D61" s="6" t="s">
        <v>29</v>
      </c>
      <c r="E61" s="7" t="str">
        <f t="shared" si="0"/>
        <v/>
      </c>
      <c r="F61" s="6" t="s">
        <v>29</v>
      </c>
      <c r="G61" s="6" t="s">
        <v>29</v>
      </c>
      <c r="H61" s="8" t="str">
        <f>IF(A61="","",Bibliotheques!$B$5&amp;IF(RIGHT(Bibliotheques!$B$5,1)="/","","/")&amp;SUBSTITUTE(A61," ","%20"))</f>
        <v/>
      </c>
      <c r="I61" s="6" t="s">
        <v>29</v>
      </c>
      <c r="J61" s="6" t="s">
        <v>29</v>
      </c>
    </row>
    <row r="62" spans="1:10" ht="33.950000000000003" customHeight="1">
      <c r="A62" s="6" t="s">
        <v>29</v>
      </c>
      <c r="B62" s="6" t="s">
        <v>29</v>
      </c>
      <c r="C62" s="7" t="str">
        <f>IF(A62="","",IFERROR(IF(VLOOKUP(B62,Bibliotheques!$A$10:$B$59,2,FALSE)=0,"Nom manquant",VLOOKUP(B62,Bibliotheques!$A$10:$B$59,2,FALSE)),"Clé inconnue"))</f>
        <v/>
      </c>
      <c r="D62" s="6" t="s">
        <v>29</v>
      </c>
      <c r="E62" s="7" t="str">
        <f t="shared" si="0"/>
        <v/>
      </c>
      <c r="F62" s="6" t="s">
        <v>29</v>
      </c>
      <c r="G62" s="6" t="s">
        <v>29</v>
      </c>
      <c r="H62" s="8" t="str">
        <f>IF(A62="","",Bibliotheques!$B$5&amp;IF(RIGHT(Bibliotheques!$B$5,1)="/","","/")&amp;SUBSTITUTE(A62," ","%20"))</f>
        <v/>
      </c>
      <c r="I62" s="6" t="s">
        <v>29</v>
      </c>
      <c r="J62" s="6" t="s">
        <v>29</v>
      </c>
    </row>
    <row r="63" spans="1:10" ht="33.950000000000003" customHeight="1">
      <c r="A63" s="6" t="s">
        <v>29</v>
      </c>
      <c r="B63" s="6" t="s">
        <v>29</v>
      </c>
      <c r="C63" s="7" t="str">
        <f>IF(A63="","",IFERROR(IF(VLOOKUP(B63,Bibliotheques!$A$10:$B$59,2,FALSE)=0,"Nom manquant",VLOOKUP(B63,Bibliotheques!$A$10:$B$59,2,FALSE)),"Clé inconnue"))</f>
        <v/>
      </c>
      <c r="D63" s="6" t="s">
        <v>29</v>
      </c>
      <c r="E63" s="7" t="str">
        <f t="shared" si="0"/>
        <v/>
      </c>
      <c r="F63" s="6" t="s">
        <v>29</v>
      </c>
      <c r="G63" s="6" t="s">
        <v>29</v>
      </c>
      <c r="H63" s="8" t="str">
        <f>IF(A63="","",Bibliotheques!$B$5&amp;IF(RIGHT(Bibliotheques!$B$5,1)="/","","/")&amp;SUBSTITUTE(A63," ","%20"))</f>
        <v/>
      </c>
      <c r="I63" s="6" t="s">
        <v>29</v>
      </c>
      <c r="J63" s="6" t="s">
        <v>29</v>
      </c>
    </row>
    <row r="64" spans="1:10" ht="33.950000000000003" customHeight="1">
      <c r="A64" s="6" t="s">
        <v>29</v>
      </c>
      <c r="B64" s="6" t="s">
        <v>29</v>
      </c>
      <c r="C64" s="7" t="str">
        <f>IF(A64="","",IFERROR(IF(VLOOKUP(B64,Bibliotheques!$A$10:$B$59,2,FALSE)=0,"Nom manquant",VLOOKUP(B64,Bibliotheques!$A$10:$B$59,2,FALSE)),"Clé inconnue"))</f>
        <v/>
      </c>
      <c r="D64" s="6" t="s">
        <v>29</v>
      </c>
      <c r="E64" s="7" t="str">
        <f t="shared" si="0"/>
        <v/>
      </c>
      <c r="F64" s="6" t="s">
        <v>29</v>
      </c>
      <c r="G64" s="6" t="s">
        <v>29</v>
      </c>
      <c r="H64" s="8" t="str">
        <f>IF(A64="","",Bibliotheques!$B$5&amp;IF(RIGHT(Bibliotheques!$B$5,1)="/","","/")&amp;SUBSTITUTE(A64," ","%20"))</f>
        <v/>
      </c>
      <c r="I64" s="6" t="s">
        <v>29</v>
      </c>
      <c r="J64" s="6" t="s">
        <v>29</v>
      </c>
    </row>
    <row r="65" spans="1:10" ht="33.950000000000003" customHeight="1">
      <c r="A65" s="6" t="s">
        <v>29</v>
      </c>
      <c r="B65" s="6" t="s">
        <v>29</v>
      </c>
      <c r="C65" s="7" t="str">
        <f>IF(A65="","",IFERROR(IF(VLOOKUP(B65,Bibliotheques!$A$10:$B$59,2,FALSE)=0,"Nom manquant",VLOOKUP(B65,Bibliotheques!$A$10:$B$59,2,FALSE)),"Clé inconnue"))</f>
        <v/>
      </c>
      <c r="D65" s="6" t="s">
        <v>29</v>
      </c>
      <c r="E65" s="7" t="str">
        <f t="shared" si="0"/>
        <v/>
      </c>
      <c r="F65" s="6" t="s">
        <v>29</v>
      </c>
      <c r="G65" s="6" t="s">
        <v>29</v>
      </c>
      <c r="H65" s="8" t="str">
        <f>IF(A65="","",Bibliotheques!$B$5&amp;IF(RIGHT(Bibliotheques!$B$5,1)="/","","/")&amp;SUBSTITUTE(A65," ","%20"))</f>
        <v/>
      </c>
      <c r="I65" s="6" t="s">
        <v>29</v>
      </c>
      <c r="J65" s="6" t="s">
        <v>29</v>
      </c>
    </row>
    <row r="66" spans="1:10" ht="33.950000000000003" customHeight="1">
      <c r="A66" s="6" t="s">
        <v>29</v>
      </c>
      <c r="B66" s="6" t="s">
        <v>29</v>
      </c>
      <c r="C66" s="7" t="str">
        <f>IF(A66="","",IFERROR(IF(VLOOKUP(B66,Bibliotheques!$A$10:$B$59,2,FALSE)=0,"Nom manquant",VLOOKUP(B66,Bibliotheques!$A$10:$B$59,2,FALSE)),"Clé inconnue"))</f>
        <v/>
      </c>
      <c r="D66" s="6" t="s">
        <v>29</v>
      </c>
      <c r="E66" s="7" t="str">
        <f t="shared" si="0"/>
        <v/>
      </c>
      <c r="F66" s="6" t="s">
        <v>29</v>
      </c>
      <c r="G66" s="6" t="s">
        <v>29</v>
      </c>
      <c r="H66" s="8" t="str">
        <f>IF(A66="","",Bibliotheques!$B$5&amp;IF(RIGHT(Bibliotheques!$B$5,1)="/","","/")&amp;SUBSTITUTE(A66," ","%20"))</f>
        <v/>
      </c>
      <c r="I66" s="6" t="s">
        <v>29</v>
      </c>
      <c r="J66" s="6" t="s">
        <v>29</v>
      </c>
    </row>
    <row r="67" spans="1:10" ht="33.950000000000003" customHeight="1">
      <c r="A67" s="6" t="s">
        <v>29</v>
      </c>
      <c r="B67" s="6" t="s">
        <v>29</v>
      </c>
      <c r="C67" s="7" t="str">
        <f>IF(A67="","",IFERROR(IF(VLOOKUP(B67,Bibliotheques!$A$10:$B$59,2,FALSE)=0,"Nom manquant",VLOOKUP(B67,Bibliotheques!$A$10:$B$59,2,FALSE)),"Clé inconnue"))</f>
        <v/>
      </c>
      <c r="D67" s="6" t="s">
        <v>29</v>
      </c>
      <c r="E67" s="7" t="str">
        <f t="shared" si="0"/>
        <v/>
      </c>
      <c r="F67" s="6" t="s">
        <v>29</v>
      </c>
      <c r="G67" s="6" t="s">
        <v>29</v>
      </c>
      <c r="H67" s="8" t="str">
        <f>IF(A67="","",Bibliotheques!$B$5&amp;IF(RIGHT(Bibliotheques!$B$5,1)="/","","/")&amp;SUBSTITUTE(A67," ","%20"))</f>
        <v/>
      </c>
      <c r="I67" s="6" t="s">
        <v>29</v>
      </c>
      <c r="J67" s="6" t="s">
        <v>29</v>
      </c>
    </row>
    <row r="68" spans="1:10" ht="33.950000000000003" customHeight="1">
      <c r="A68" s="6" t="s">
        <v>29</v>
      </c>
      <c r="B68" s="6" t="s">
        <v>29</v>
      </c>
      <c r="C68" s="7" t="str">
        <f>IF(A68="","",IFERROR(IF(VLOOKUP(B68,Bibliotheques!$A$10:$B$59,2,FALSE)=0,"Nom manquant",VLOOKUP(B68,Bibliotheques!$A$10:$B$59,2,FALSE)),"Clé inconnue"))</f>
        <v/>
      </c>
      <c r="D68" s="6" t="s">
        <v>29</v>
      </c>
      <c r="E68" s="7" t="str">
        <f t="shared" si="0"/>
        <v/>
      </c>
      <c r="F68" s="6" t="s">
        <v>29</v>
      </c>
      <c r="G68" s="6" t="s">
        <v>29</v>
      </c>
      <c r="H68" s="8" t="str">
        <f>IF(A68="","",Bibliotheques!$B$5&amp;IF(RIGHT(Bibliotheques!$B$5,1)="/","","/")&amp;SUBSTITUTE(A68," ","%20"))</f>
        <v/>
      </c>
      <c r="I68" s="6" t="s">
        <v>29</v>
      </c>
      <c r="J68" s="6" t="s">
        <v>29</v>
      </c>
    </row>
    <row r="69" spans="1:10" ht="33.950000000000003" customHeight="1">
      <c r="A69" s="6" t="s">
        <v>29</v>
      </c>
      <c r="B69" s="6" t="s">
        <v>29</v>
      </c>
      <c r="C69" s="7" t="str">
        <f>IF(A69="","",IFERROR(IF(VLOOKUP(B69,Bibliotheques!$A$10:$B$59,2,FALSE)=0,"Nom manquant",VLOOKUP(B69,Bibliotheques!$A$10:$B$59,2,FALSE)),"Clé inconnue"))</f>
        <v/>
      </c>
      <c r="D69" s="6" t="s">
        <v>29</v>
      </c>
      <c r="E69" s="7" t="str">
        <f t="shared" si="0"/>
        <v/>
      </c>
      <c r="F69" s="6" t="s">
        <v>29</v>
      </c>
      <c r="G69" s="6" t="s">
        <v>29</v>
      </c>
      <c r="H69" s="8" t="str">
        <f>IF(A69="","",Bibliotheques!$B$5&amp;IF(RIGHT(Bibliotheques!$B$5,1)="/","","/")&amp;SUBSTITUTE(A69," ","%20"))</f>
        <v/>
      </c>
      <c r="I69" s="6" t="s">
        <v>29</v>
      </c>
      <c r="J69" s="6" t="s">
        <v>29</v>
      </c>
    </row>
    <row r="70" spans="1:10" ht="33.950000000000003" customHeight="1">
      <c r="A70" s="6" t="s">
        <v>29</v>
      </c>
      <c r="B70" s="6" t="s">
        <v>29</v>
      </c>
      <c r="C70" s="7" t="str">
        <f>IF(A70="","",IFERROR(IF(VLOOKUP(B70,Bibliotheques!$A$10:$B$59,2,FALSE)=0,"Nom manquant",VLOOKUP(B70,Bibliotheques!$A$10:$B$59,2,FALSE)),"Clé inconnue"))</f>
        <v/>
      </c>
      <c r="D70" s="6" t="s">
        <v>29</v>
      </c>
      <c r="E70" s="7" t="str">
        <f t="shared" ref="E70:E133" si="1">IF(A70="","",LOWER(B70&amp;"-"&amp;SUBSTITUTE(SUBSTITUTE(SUBSTITUTE(LOWER(A70),".svg","")," ","-"),"/","-")))</f>
        <v/>
      </c>
      <c r="F70" s="6" t="s">
        <v>29</v>
      </c>
      <c r="G70" s="6" t="s">
        <v>29</v>
      </c>
      <c r="H70" s="8" t="str">
        <f>IF(A70="","",Bibliotheques!$B$5&amp;IF(RIGHT(Bibliotheques!$B$5,1)="/","","/")&amp;SUBSTITUTE(A70," ","%20"))</f>
        <v/>
      </c>
      <c r="I70" s="6" t="s">
        <v>29</v>
      </c>
      <c r="J70" s="6" t="s">
        <v>29</v>
      </c>
    </row>
    <row r="71" spans="1:10" ht="33.950000000000003" customHeight="1">
      <c r="A71" s="6" t="s">
        <v>29</v>
      </c>
      <c r="B71" s="6" t="s">
        <v>29</v>
      </c>
      <c r="C71" s="7" t="str">
        <f>IF(A71="","",IFERROR(IF(VLOOKUP(B71,Bibliotheques!$A$10:$B$59,2,FALSE)=0,"Nom manquant",VLOOKUP(B71,Bibliotheques!$A$10:$B$59,2,FALSE)),"Clé inconnue"))</f>
        <v/>
      </c>
      <c r="D71" s="6" t="s">
        <v>29</v>
      </c>
      <c r="E71" s="7" t="str">
        <f t="shared" si="1"/>
        <v/>
      </c>
      <c r="F71" s="6" t="s">
        <v>29</v>
      </c>
      <c r="G71" s="6" t="s">
        <v>29</v>
      </c>
      <c r="H71" s="8" t="str">
        <f>IF(A71="","",Bibliotheques!$B$5&amp;IF(RIGHT(Bibliotheques!$B$5,1)="/","","/")&amp;SUBSTITUTE(A71," ","%20"))</f>
        <v/>
      </c>
      <c r="I71" s="6" t="s">
        <v>29</v>
      </c>
      <c r="J71" s="6" t="s">
        <v>29</v>
      </c>
    </row>
    <row r="72" spans="1:10" ht="33.950000000000003" customHeight="1">
      <c r="A72" s="6" t="s">
        <v>29</v>
      </c>
      <c r="B72" s="6" t="s">
        <v>29</v>
      </c>
      <c r="C72" s="7" t="str">
        <f>IF(A72="","",IFERROR(IF(VLOOKUP(B72,Bibliotheques!$A$10:$B$59,2,FALSE)=0,"Nom manquant",VLOOKUP(B72,Bibliotheques!$A$10:$B$59,2,FALSE)),"Clé inconnue"))</f>
        <v/>
      </c>
      <c r="D72" s="6" t="s">
        <v>29</v>
      </c>
      <c r="E72" s="7" t="str">
        <f t="shared" si="1"/>
        <v/>
      </c>
      <c r="F72" s="6" t="s">
        <v>29</v>
      </c>
      <c r="G72" s="6" t="s">
        <v>29</v>
      </c>
      <c r="H72" s="8" t="str">
        <f>IF(A72="","",Bibliotheques!$B$5&amp;IF(RIGHT(Bibliotheques!$B$5,1)="/","","/")&amp;SUBSTITUTE(A72," ","%20"))</f>
        <v/>
      </c>
      <c r="I72" s="6" t="s">
        <v>29</v>
      </c>
      <c r="J72" s="6" t="s">
        <v>29</v>
      </c>
    </row>
    <row r="73" spans="1:10" ht="33.950000000000003" customHeight="1">
      <c r="A73" s="6" t="s">
        <v>29</v>
      </c>
      <c r="B73" s="6" t="s">
        <v>29</v>
      </c>
      <c r="C73" s="7" t="str">
        <f>IF(A73="","",IFERROR(IF(VLOOKUP(B73,Bibliotheques!$A$10:$B$59,2,FALSE)=0,"Nom manquant",VLOOKUP(B73,Bibliotheques!$A$10:$B$59,2,FALSE)),"Clé inconnue"))</f>
        <v/>
      </c>
      <c r="D73" s="6" t="s">
        <v>29</v>
      </c>
      <c r="E73" s="7" t="str">
        <f t="shared" si="1"/>
        <v/>
      </c>
      <c r="F73" s="6" t="s">
        <v>29</v>
      </c>
      <c r="G73" s="6" t="s">
        <v>29</v>
      </c>
      <c r="H73" s="8" t="str">
        <f>IF(A73="","",Bibliotheques!$B$5&amp;IF(RIGHT(Bibliotheques!$B$5,1)="/","","/")&amp;SUBSTITUTE(A73," ","%20"))</f>
        <v/>
      </c>
      <c r="I73" s="6" t="s">
        <v>29</v>
      </c>
      <c r="J73" s="6" t="s">
        <v>29</v>
      </c>
    </row>
    <row r="74" spans="1:10" ht="33.950000000000003" customHeight="1">
      <c r="A74" s="6" t="s">
        <v>29</v>
      </c>
      <c r="B74" s="6" t="s">
        <v>29</v>
      </c>
      <c r="C74" s="7" t="str">
        <f>IF(A74="","",IFERROR(IF(VLOOKUP(B74,Bibliotheques!$A$10:$B$59,2,FALSE)=0,"Nom manquant",VLOOKUP(B74,Bibliotheques!$A$10:$B$59,2,FALSE)),"Clé inconnue"))</f>
        <v/>
      </c>
      <c r="D74" s="6" t="s">
        <v>29</v>
      </c>
      <c r="E74" s="7" t="str">
        <f t="shared" si="1"/>
        <v/>
      </c>
      <c r="F74" s="6" t="s">
        <v>29</v>
      </c>
      <c r="G74" s="6" t="s">
        <v>29</v>
      </c>
      <c r="H74" s="8" t="str">
        <f>IF(A74="","",Bibliotheques!$B$5&amp;IF(RIGHT(Bibliotheques!$B$5,1)="/","","/")&amp;SUBSTITUTE(A74," ","%20"))</f>
        <v/>
      </c>
      <c r="I74" s="6" t="s">
        <v>29</v>
      </c>
      <c r="J74" s="6" t="s">
        <v>29</v>
      </c>
    </row>
    <row r="75" spans="1:10" ht="33.950000000000003" customHeight="1">
      <c r="A75" s="6" t="s">
        <v>29</v>
      </c>
      <c r="B75" s="6" t="s">
        <v>29</v>
      </c>
      <c r="C75" s="7" t="str">
        <f>IF(A75="","",IFERROR(IF(VLOOKUP(B75,Bibliotheques!$A$10:$B$59,2,FALSE)=0,"Nom manquant",VLOOKUP(B75,Bibliotheques!$A$10:$B$59,2,FALSE)),"Clé inconnue"))</f>
        <v/>
      </c>
      <c r="D75" s="6" t="s">
        <v>29</v>
      </c>
      <c r="E75" s="7" t="str">
        <f t="shared" si="1"/>
        <v/>
      </c>
      <c r="F75" s="6" t="s">
        <v>29</v>
      </c>
      <c r="G75" s="6" t="s">
        <v>29</v>
      </c>
      <c r="H75" s="8" t="str">
        <f>IF(A75="","",Bibliotheques!$B$5&amp;IF(RIGHT(Bibliotheques!$B$5,1)="/","","/")&amp;SUBSTITUTE(A75," ","%20"))</f>
        <v/>
      </c>
      <c r="I75" s="6" t="s">
        <v>29</v>
      </c>
      <c r="J75" s="6" t="s">
        <v>29</v>
      </c>
    </row>
    <row r="76" spans="1:10" ht="33.950000000000003" customHeight="1">
      <c r="A76" s="6" t="s">
        <v>29</v>
      </c>
      <c r="B76" s="6" t="s">
        <v>29</v>
      </c>
      <c r="C76" s="7" t="str">
        <f>IF(A76="","",IFERROR(IF(VLOOKUP(B76,Bibliotheques!$A$10:$B$59,2,FALSE)=0,"Nom manquant",VLOOKUP(B76,Bibliotheques!$A$10:$B$59,2,FALSE)),"Clé inconnue"))</f>
        <v/>
      </c>
      <c r="D76" s="6" t="s">
        <v>29</v>
      </c>
      <c r="E76" s="7" t="str">
        <f t="shared" si="1"/>
        <v/>
      </c>
      <c r="F76" s="6" t="s">
        <v>29</v>
      </c>
      <c r="G76" s="6" t="s">
        <v>29</v>
      </c>
      <c r="H76" s="8" t="str">
        <f>IF(A76="","",Bibliotheques!$B$5&amp;IF(RIGHT(Bibliotheques!$B$5,1)="/","","/")&amp;SUBSTITUTE(A76," ","%20"))</f>
        <v/>
      </c>
      <c r="I76" s="6" t="s">
        <v>29</v>
      </c>
      <c r="J76" s="6" t="s">
        <v>29</v>
      </c>
    </row>
    <row r="77" spans="1:10" ht="33.950000000000003" customHeight="1">
      <c r="A77" s="6" t="s">
        <v>29</v>
      </c>
      <c r="B77" s="6" t="s">
        <v>29</v>
      </c>
      <c r="C77" s="7" t="str">
        <f>IF(A77="","",IFERROR(IF(VLOOKUP(B77,Bibliotheques!$A$10:$B$59,2,FALSE)=0,"Nom manquant",VLOOKUP(B77,Bibliotheques!$A$10:$B$59,2,FALSE)),"Clé inconnue"))</f>
        <v/>
      </c>
      <c r="D77" s="6" t="s">
        <v>29</v>
      </c>
      <c r="E77" s="7" t="str">
        <f t="shared" si="1"/>
        <v/>
      </c>
      <c r="F77" s="6" t="s">
        <v>29</v>
      </c>
      <c r="G77" s="6" t="s">
        <v>29</v>
      </c>
      <c r="H77" s="8" t="str">
        <f>IF(A77="","",Bibliotheques!$B$5&amp;IF(RIGHT(Bibliotheques!$B$5,1)="/","","/")&amp;SUBSTITUTE(A77," ","%20"))</f>
        <v/>
      </c>
      <c r="I77" s="6" t="s">
        <v>29</v>
      </c>
      <c r="J77" s="6" t="s">
        <v>29</v>
      </c>
    </row>
    <row r="78" spans="1:10" ht="33.950000000000003" customHeight="1">
      <c r="A78" s="6" t="s">
        <v>29</v>
      </c>
      <c r="B78" s="6" t="s">
        <v>29</v>
      </c>
      <c r="C78" s="7" t="str">
        <f>IF(A78="","",IFERROR(IF(VLOOKUP(B78,Bibliotheques!$A$10:$B$59,2,FALSE)=0,"Nom manquant",VLOOKUP(B78,Bibliotheques!$A$10:$B$59,2,FALSE)),"Clé inconnue"))</f>
        <v/>
      </c>
      <c r="D78" s="6" t="s">
        <v>29</v>
      </c>
      <c r="E78" s="7" t="str">
        <f t="shared" si="1"/>
        <v/>
      </c>
      <c r="F78" s="6" t="s">
        <v>29</v>
      </c>
      <c r="G78" s="6" t="s">
        <v>29</v>
      </c>
      <c r="H78" s="8" t="str">
        <f>IF(A78="","",Bibliotheques!$B$5&amp;IF(RIGHT(Bibliotheques!$B$5,1)="/","","/")&amp;SUBSTITUTE(A78," ","%20"))</f>
        <v/>
      </c>
      <c r="I78" s="6" t="s">
        <v>29</v>
      </c>
      <c r="J78" s="6" t="s">
        <v>29</v>
      </c>
    </row>
    <row r="79" spans="1:10" ht="33.950000000000003" customHeight="1">
      <c r="A79" s="6" t="s">
        <v>29</v>
      </c>
      <c r="B79" s="6" t="s">
        <v>29</v>
      </c>
      <c r="C79" s="7" t="str">
        <f>IF(A79="","",IFERROR(IF(VLOOKUP(B79,Bibliotheques!$A$10:$B$59,2,FALSE)=0,"Nom manquant",VLOOKUP(B79,Bibliotheques!$A$10:$B$59,2,FALSE)),"Clé inconnue"))</f>
        <v/>
      </c>
      <c r="D79" s="6" t="s">
        <v>29</v>
      </c>
      <c r="E79" s="7" t="str">
        <f t="shared" si="1"/>
        <v/>
      </c>
      <c r="F79" s="6" t="s">
        <v>29</v>
      </c>
      <c r="G79" s="6" t="s">
        <v>29</v>
      </c>
      <c r="H79" s="8" t="str">
        <f>IF(A79="","",Bibliotheques!$B$5&amp;IF(RIGHT(Bibliotheques!$B$5,1)="/","","/")&amp;SUBSTITUTE(A79," ","%20"))</f>
        <v/>
      </c>
      <c r="I79" s="6" t="s">
        <v>29</v>
      </c>
      <c r="J79" s="6" t="s">
        <v>29</v>
      </c>
    </row>
    <row r="80" spans="1:10" ht="33.950000000000003" customHeight="1">
      <c r="A80" s="6" t="s">
        <v>29</v>
      </c>
      <c r="B80" s="6" t="s">
        <v>29</v>
      </c>
      <c r="C80" s="7" t="str">
        <f>IF(A80="","",IFERROR(IF(VLOOKUP(B80,Bibliotheques!$A$10:$B$59,2,FALSE)=0,"Nom manquant",VLOOKUP(B80,Bibliotheques!$A$10:$B$59,2,FALSE)),"Clé inconnue"))</f>
        <v/>
      </c>
      <c r="D80" s="6" t="s">
        <v>29</v>
      </c>
      <c r="E80" s="7" t="str">
        <f t="shared" si="1"/>
        <v/>
      </c>
      <c r="F80" s="6" t="s">
        <v>29</v>
      </c>
      <c r="G80" s="6" t="s">
        <v>29</v>
      </c>
      <c r="H80" s="8" t="str">
        <f>IF(A80="","",Bibliotheques!$B$5&amp;IF(RIGHT(Bibliotheques!$B$5,1)="/","","/")&amp;SUBSTITUTE(A80," ","%20"))</f>
        <v/>
      </c>
      <c r="I80" s="6" t="s">
        <v>29</v>
      </c>
      <c r="J80" s="6" t="s">
        <v>29</v>
      </c>
    </row>
    <row r="81" spans="1:10" ht="33.950000000000003" customHeight="1">
      <c r="A81" s="6" t="s">
        <v>29</v>
      </c>
      <c r="B81" s="6" t="s">
        <v>29</v>
      </c>
      <c r="C81" s="7" t="str">
        <f>IF(A81="","",IFERROR(IF(VLOOKUP(B81,Bibliotheques!$A$10:$B$59,2,FALSE)=0,"Nom manquant",VLOOKUP(B81,Bibliotheques!$A$10:$B$59,2,FALSE)),"Clé inconnue"))</f>
        <v/>
      </c>
      <c r="D81" s="6" t="s">
        <v>29</v>
      </c>
      <c r="E81" s="7" t="str">
        <f t="shared" si="1"/>
        <v/>
      </c>
      <c r="F81" s="6" t="s">
        <v>29</v>
      </c>
      <c r="G81" s="6" t="s">
        <v>29</v>
      </c>
      <c r="H81" s="8" t="str">
        <f>IF(A81="","",Bibliotheques!$B$5&amp;IF(RIGHT(Bibliotheques!$B$5,1)="/","","/")&amp;SUBSTITUTE(A81," ","%20"))</f>
        <v/>
      </c>
      <c r="I81" s="6" t="s">
        <v>29</v>
      </c>
      <c r="J81" s="6" t="s">
        <v>29</v>
      </c>
    </row>
    <row r="82" spans="1:10" ht="33.950000000000003" customHeight="1">
      <c r="A82" s="6" t="s">
        <v>29</v>
      </c>
      <c r="B82" s="6" t="s">
        <v>29</v>
      </c>
      <c r="C82" s="7" t="str">
        <f>IF(A82="","",IFERROR(IF(VLOOKUP(B82,Bibliotheques!$A$10:$B$59,2,FALSE)=0,"Nom manquant",VLOOKUP(B82,Bibliotheques!$A$10:$B$59,2,FALSE)),"Clé inconnue"))</f>
        <v/>
      </c>
      <c r="D82" s="6" t="s">
        <v>29</v>
      </c>
      <c r="E82" s="7" t="str">
        <f t="shared" si="1"/>
        <v/>
      </c>
      <c r="F82" s="6" t="s">
        <v>29</v>
      </c>
      <c r="G82" s="6" t="s">
        <v>29</v>
      </c>
      <c r="H82" s="8" t="str">
        <f>IF(A82="","",Bibliotheques!$B$5&amp;IF(RIGHT(Bibliotheques!$B$5,1)="/","","/")&amp;SUBSTITUTE(A82," ","%20"))</f>
        <v/>
      </c>
      <c r="I82" s="6" t="s">
        <v>29</v>
      </c>
      <c r="J82" s="6" t="s">
        <v>29</v>
      </c>
    </row>
    <row r="83" spans="1:10" ht="33.950000000000003" customHeight="1">
      <c r="A83" s="6" t="s">
        <v>29</v>
      </c>
      <c r="B83" s="6" t="s">
        <v>29</v>
      </c>
      <c r="C83" s="7" t="str">
        <f>IF(A83="","",IFERROR(IF(VLOOKUP(B83,Bibliotheques!$A$10:$B$59,2,FALSE)=0,"Nom manquant",VLOOKUP(B83,Bibliotheques!$A$10:$B$59,2,FALSE)),"Clé inconnue"))</f>
        <v/>
      </c>
      <c r="D83" s="6" t="s">
        <v>29</v>
      </c>
      <c r="E83" s="7" t="str">
        <f t="shared" si="1"/>
        <v/>
      </c>
      <c r="F83" s="6" t="s">
        <v>29</v>
      </c>
      <c r="G83" s="6" t="s">
        <v>29</v>
      </c>
      <c r="H83" s="8" t="str">
        <f>IF(A83="","",Bibliotheques!$B$5&amp;IF(RIGHT(Bibliotheques!$B$5,1)="/","","/")&amp;SUBSTITUTE(A83," ","%20"))</f>
        <v/>
      </c>
      <c r="I83" s="6" t="s">
        <v>29</v>
      </c>
      <c r="J83" s="6" t="s">
        <v>29</v>
      </c>
    </row>
    <row r="84" spans="1:10" ht="33.950000000000003" customHeight="1">
      <c r="A84" s="6" t="s">
        <v>29</v>
      </c>
      <c r="B84" s="6" t="s">
        <v>29</v>
      </c>
      <c r="C84" s="7" t="str">
        <f>IF(A84="","",IFERROR(IF(VLOOKUP(B84,Bibliotheques!$A$10:$B$59,2,FALSE)=0,"Nom manquant",VLOOKUP(B84,Bibliotheques!$A$10:$B$59,2,FALSE)),"Clé inconnue"))</f>
        <v/>
      </c>
      <c r="D84" s="6" t="s">
        <v>29</v>
      </c>
      <c r="E84" s="7" t="str">
        <f t="shared" si="1"/>
        <v/>
      </c>
      <c r="F84" s="6" t="s">
        <v>29</v>
      </c>
      <c r="G84" s="6" t="s">
        <v>29</v>
      </c>
      <c r="H84" s="8" t="str">
        <f>IF(A84="","",Bibliotheques!$B$5&amp;IF(RIGHT(Bibliotheques!$B$5,1)="/","","/")&amp;SUBSTITUTE(A84," ","%20"))</f>
        <v/>
      </c>
      <c r="I84" s="6" t="s">
        <v>29</v>
      </c>
      <c r="J84" s="6" t="s">
        <v>29</v>
      </c>
    </row>
    <row r="85" spans="1:10" ht="33.950000000000003" customHeight="1">
      <c r="A85" s="6" t="s">
        <v>29</v>
      </c>
      <c r="B85" s="6" t="s">
        <v>29</v>
      </c>
      <c r="C85" s="7" t="str">
        <f>IF(A85="","",IFERROR(IF(VLOOKUP(B85,Bibliotheques!$A$10:$B$59,2,FALSE)=0,"Nom manquant",VLOOKUP(B85,Bibliotheques!$A$10:$B$59,2,FALSE)),"Clé inconnue"))</f>
        <v/>
      </c>
      <c r="D85" s="6" t="s">
        <v>29</v>
      </c>
      <c r="E85" s="7" t="str">
        <f t="shared" si="1"/>
        <v/>
      </c>
      <c r="F85" s="6" t="s">
        <v>29</v>
      </c>
      <c r="G85" s="6" t="s">
        <v>29</v>
      </c>
      <c r="H85" s="8" t="str">
        <f>IF(A85="","",Bibliotheques!$B$5&amp;IF(RIGHT(Bibliotheques!$B$5,1)="/","","/")&amp;SUBSTITUTE(A85," ","%20"))</f>
        <v/>
      </c>
      <c r="I85" s="6" t="s">
        <v>29</v>
      </c>
      <c r="J85" s="6" t="s">
        <v>29</v>
      </c>
    </row>
    <row r="86" spans="1:10" ht="33.950000000000003" customHeight="1">
      <c r="A86" s="6" t="s">
        <v>29</v>
      </c>
      <c r="B86" s="6" t="s">
        <v>29</v>
      </c>
      <c r="C86" s="7" t="str">
        <f>IF(A86="","",IFERROR(IF(VLOOKUP(B86,Bibliotheques!$A$10:$B$59,2,FALSE)=0,"Nom manquant",VLOOKUP(B86,Bibliotheques!$A$10:$B$59,2,FALSE)),"Clé inconnue"))</f>
        <v/>
      </c>
      <c r="D86" s="6" t="s">
        <v>29</v>
      </c>
      <c r="E86" s="7" t="str">
        <f t="shared" si="1"/>
        <v/>
      </c>
      <c r="F86" s="6" t="s">
        <v>29</v>
      </c>
      <c r="G86" s="6" t="s">
        <v>29</v>
      </c>
      <c r="H86" s="8" t="str">
        <f>IF(A86="","",Bibliotheques!$B$5&amp;IF(RIGHT(Bibliotheques!$B$5,1)="/","","/")&amp;SUBSTITUTE(A86," ","%20"))</f>
        <v/>
      </c>
      <c r="I86" s="6" t="s">
        <v>29</v>
      </c>
      <c r="J86" s="6" t="s">
        <v>29</v>
      </c>
    </row>
    <row r="87" spans="1:10" ht="33.950000000000003" customHeight="1">
      <c r="A87" s="6" t="s">
        <v>29</v>
      </c>
      <c r="B87" s="6" t="s">
        <v>29</v>
      </c>
      <c r="C87" s="7" t="str">
        <f>IF(A87="","",IFERROR(IF(VLOOKUP(B87,Bibliotheques!$A$10:$B$59,2,FALSE)=0,"Nom manquant",VLOOKUP(B87,Bibliotheques!$A$10:$B$59,2,FALSE)),"Clé inconnue"))</f>
        <v/>
      </c>
      <c r="D87" s="6" t="s">
        <v>29</v>
      </c>
      <c r="E87" s="7" t="str">
        <f t="shared" si="1"/>
        <v/>
      </c>
      <c r="F87" s="6" t="s">
        <v>29</v>
      </c>
      <c r="G87" s="6" t="s">
        <v>29</v>
      </c>
      <c r="H87" s="8" t="str">
        <f>IF(A87="","",Bibliotheques!$B$5&amp;IF(RIGHT(Bibliotheques!$B$5,1)="/","","/")&amp;SUBSTITUTE(A87," ","%20"))</f>
        <v/>
      </c>
      <c r="I87" s="6" t="s">
        <v>29</v>
      </c>
      <c r="J87" s="6" t="s">
        <v>29</v>
      </c>
    </row>
    <row r="88" spans="1:10" ht="33.950000000000003" customHeight="1">
      <c r="A88" s="6" t="s">
        <v>29</v>
      </c>
      <c r="B88" s="6" t="s">
        <v>29</v>
      </c>
      <c r="C88" s="7" t="str">
        <f>IF(A88="","",IFERROR(IF(VLOOKUP(B88,Bibliotheques!$A$10:$B$59,2,FALSE)=0,"Nom manquant",VLOOKUP(B88,Bibliotheques!$A$10:$B$59,2,FALSE)),"Clé inconnue"))</f>
        <v/>
      </c>
      <c r="D88" s="6" t="s">
        <v>29</v>
      </c>
      <c r="E88" s="7" t="str">
        <f t="shared" si="1"/>
        <v/>
      </c>
      <c r="F88" s="6" t="s">
        <v>29</v>
      </c>
      <c r="G88" s="6" t="s">
        <v>29</v>
      </c>
      <c r="H88" s="8" t="str">
        <f>IF(A88="","",Bibliotheques!$B$5&amp;IF(RIGHT(Bibliotheques!$B$5,1)="/","","/")&amp;SUBSTITUTE(A88," ","%20"))</f>
        <v/>
      </c>
      <c r="I88" s="6" t="s">
        <v>29</v>
      </c>
      <c r="J88" s="6" t="s">
        <v>29</v>
      </c>
    </row>
    <row r="89" spans="1:10" ht="33.950000000000003" customHeight="1">
      <c r="A89" s="6" t="s">
        <v>29</v>
      </c>
      <c r="B89" s="6" t="s">
        <v>29</v>
      </c>
      <c r="C89" s="7" t="str">
        <f>IF(A89="","",IFERROR(IF(VLOOKUP(B89,Bibliotheques!$A$10:$B$59,2,FALSE)=0,"Nom manquant",VLOOKUP(B89,Bibliotheques!$A$10:$B$59,2,FALSE)),"Clé inconnue"))</f>
        <v/>
      </c>
      <c r="D89" s="6" t="s">
        <v>29</v>
      </c>
      <c r="E89" s="7" t="str">
        <f t="shared" si="1"/>
        <v/>
      </c>
      <c r="F89" s="6" t="s">
        <v>29</v>
      </c>
      <c r="G89" s="6" t="s">
        <v>29</v>
      </c>
      <c r="H89" s="8" t="str">
        <f>IF(A89="","",Bibliotheques!$B$5&amp;IF(RIGHT(Bibliotheques!$B$5,1)="/","","/")&amp;SUBSTITUTE(A89," ","%20"))</f>
        <v/>
      </c>
      <c r="I89" s="6" t="s">
        <v>29</v>
      </c>
      <c r="J89" s="6" t="s">
        <v>29</v>
      </c>
    </row>
    <row r="90" spans="1:10" ht="33.950000000000003" customHeight="1">
      <c r="A90" s="6" t="s">
        <v>29</v>
      </c>
      <c r="B90" s="6" t="s">
        <v>29</v>
      </c>
      <c r="C90" s="7" t="str">
        <f>IF(A90="","",IFERROR(IF(VLOOKUP(B90,Bibliotheques!$A$10:$B$59,2,FALSE)=0,"Nom manquant",VLOOKUP(B90,Bibliotheques!$A$10:$B$59,2,FALSE)),"Clé inconnue"))</f>
        <v/>
      </c>
      <c r="D90" s="6" t="s">
        <v>29</v>
      </c>
      <c r="E90" s="7" t="str">
        <f t="shared" si="1"/>
        <v/>
      </c>
      <c r="F90" s="6" t="s">
        <v>29</v>
      </c>
      <c r="G90" s="6" t="s">
        <v>29</v>
      </c>
      <c r="H90" s="8" t="str">
        <f>IF(A90="","",Bibliotheques!$B$5&amp;IF(RIGHT(Bibliotheques!$B$5,1)="/","","/")&amp;SUBSTITUTE(A90," ","%20"))</f>
        <v/>
      </c>
      <c r="I90" s="6" t="s">
        <v>29</v>
      </c>
      <c r="J90" s="6" t="s">
        <v>29</v>
      </c>
    </row>
    <row r="91" spans="1:10" ht="33.950000000000003" customHeight="1">
      <c r="A91" s="6" t="s">
        <v>29</v>
      </c>
      <c r="B91" s="6" t="s">
        <v>29</v>
      </c>
      <c r="C91" s="7" t="str">
        <f>IF(A91="","",IFERROR(IF(VLOOKUP(B91,Bibliotheques!$A$10:$B$59,2,FALSE)=0,"Nom manquant",VLOOKUP(B91,Bibliotheques!$A$10:$B$59,2,FALSE)),"Clé inconnue"))</f>
        <v/>
      </c>
      <c r="D91" s="6" t="s">
        <v>29</v>
      </c>
      <c r="E91" s="7" t="str">
        <f t="shared" si="1"/>
        <v/>
      </c>
      <c r="F91" s="6" t="s">
        <v>29</v>
      </c>
      <c r="G91" s="6" t="s">
        <v>29</v>
      </c>
      <c r="H91" s="8" t="str">
        <f>IF(A91="","",Bibliotheques!$B$5&amp;IF(RIGHT(Bibliotheques!$B$5,1)="/","","/")&amp;SUBSTITUTE(A91," ","%20"))</f>
        <v/>
      </c>
      <c r="I91" s="6" t="s">
        <v>29</v>
      </c>
      <c r="J91" s="6" t="s">
        <v>29</v>
      </c>
    </row>
    <row r="92" spans="1:10" ht="33.950000000000003" customHeight="1">
      <c r="A92" s="6" t="s">
        <v>29</v>
      </c>
      <c r="B92" s="6" t="s">
        <v>29</v>
      </c>
      <c r="C92" s="7" t="str">
        <f>IF(A92="","",IFERROR(IF(VLOOKUP(B92,Bibliotheques!$A$10:$B$59,2,FALSE)=0,"Nom manquant",VLOOKUP(B92,Bibliotheques!$A$10:$B$59,2,FALSE)),"Clé inconnue"))</f>
        <v/>
      </c>
      <c r="D92" s="6" t="s">
        <v>29</v>
      </c>
      <c r="E92" s="7" t="str">
        <f t="shared" si="1"/>
        <v/>
      </c>
      <c r="F92" s="6" t="s">
        <v>29</v>
      </c>
      <c r="G92" s="6" t="s">
        <v>29</v>
      </c>
      <c r="H92" s="8" t="str">
        <f>IF(A92="","",Bibliotheques!$B$5&amp;IF(RIGHT(Bibliotheques!$B$5,1)="/","","/")&amp;SUBSTITUTE(A92," ","%20"))</f>
        <v/>
      </c>
      <c r="I92" s="6" t="s">
        <v>29</v>
      </c>
      <c r="J92" s="6" t="s">
        <v>29</v>
      </c>
    </row>
    <row r="93" spans="1:10" ht="33.950000000000003" customHeight="1">
      <c r="A93" s="6" t="s">
        <v>29</v>
      </c>
      <c r="B93" s="6" t="s">
        <v>29</v>
      </c>
      <c r="C93" s="7" t="str">
        <f>IF(A93="","",IFERROR(IF(VLOOKUP(B93,Bibliotheques!$A$10:$B$59,2,FALSE)=0,"Nom manquant",VLOOKUP(B93,Bibliotheques!$A$10:$B$59,2,FALSE)),"Clé inconnue"))</f>
        <v/>
      </c>
      <c r="D93" s="6" t="s">
        <v>29</v>
      </c>
      <c r="E93" s="7" t="str">
        <f t="shared" si="1"/>
        <v/>
      </c>
      <c r="F93" s="6" t="s">
        <v>29</v>
      </c>
      <c r="G93" s="6" t="s">
        <v>29</v>
      </c>
      <c r="H93" s="8" t="str">
        <f>IF(A93="","",Bibliotheques!$B$5&amp;IF(RIGHT(Bibliotheques!$B$5,1)="/","","/")&amp;SUBSTITUTE(A93," ","%20"))</f>
        <v/>
      </c>
      <c r="I93" s="6" t="s">
        <v>29</v>
      </c>
      <c r="J93" s="6" t="s">
        <v>29</v>
      </c>
    </row>
    <row r="94" spans="1:10" ht="33.950000000000003" customHeight="1">
      <c r="A94" s="6" t="s">
        <v>29</v>
      </c>
      <c r="B94" s="6" t="s">
        <v>29</v>
      </c>
      <c r="C94" s="7" t="str">
        <f>IF(A94="","",IFERROR(IF(VLOOKUP(B94,Bibliotheques!$A$10:$B$59,2,FALSE)=0,"Nom manquant",VLOOKUP(B94,Bibliotheques!$A$10:$B$59,2,FALSE)),"Clé inconnue"))</f>
        <v/>
      </c>
      <c r="D94" s="6" t="s">
        <v>29</v>
      </c>
      <c r="E94" s="7" t="str">
        <f t="shared" si="1"/>
        <v/>
      </c>
      <c r="F94" s="6" t="s">
        <v>29</v>
      </c>
      <c r="G94" s="6" t="s">
        <v>29</v>
      </c>
      <c r="H94" s="8" t="str">
        <f>IF(A94="","",Bibliotheques!$B$5&amp;IF(RIGHT(Bibliotheques!$B$5,1)="/","","/")&amp;SUBSTITUTE(A94," ","%20"))</f>
        <v/>
      </c>
      <c r="I94" s="6" t="s">
        <v>29</v>
      </c>
      <c r="J94" s="6" t="s">
        <v>29</v>
      </c>
    </row>
    <row r="95" spans="1:10" ht="33.950000000000003" customHeight="1">
      <c r="A95" s="6" t="s">
        <v>29</v>
      </c>
      <c r="B95" s="6" t="s">
        <v>29</v>
      </c>
      <c r="C95" s="7" t="str">
        <f>IF(A95="","",IFERROR(IF(VLOOKUP(B95,Bibliotheques!$A$10:$B$59,2,FALSE)=0,"Nom manquant",VLOOKUP(B95,Bibliotheques!$A$10:$B$59,2,FALSE)),"Clé inconnue"))</f>
        <v/>
      </c>
      <c r="D95" s="6" t="s">
        <v>29</v>
      </c>
      <c r="E95" s="7" t="str">
        <f t="shared" si="1"/>
        <v/>
      </c>
      <c r="F95" s="6" t="s">
        <v>29</v>
      </c>
      <c r="G95" s="6" t="s">
        <v>29</v>
      </c>
      <c r="H95" s="8" t="str">
        <f>IF(A95="","",Bibliotheques!$B$5&amp;IF(RIGHT(Bibliotheques!$B$5,1)="/","","/")&amp;SUBSTITUTE(A95," ","%20"))</f>
        <v/>
      </c>
      <c r="I95" s="6" t="s">
        <v>29</v>
      </c>
      <c r="J95" s="6" t="s">
        <v>29</v>
      </c>
    </row>
    <row r="96" spans="1:10" ht="33.950000000000003" customHeight="1">
      <c r="A96" s="6" t="s">
        <v>29</v>
      </c>
      <c r="B96" s="6" t="s">
        <v>29</v>
      </c>
      <c r="C96" s="7" t="str">
        <f>IF(A96="","",IFERROR(IF(VLOOKUP(B96,Bibliotheques!$A$10:$B$59,2,FALSE)=0,"Nom manquant",VLOOKUP(B96,Bibliotheques!$A$10:$B$59,2,FALSE)),"Clé inconnue"))</f>
        <v/>
      </c>
      <c r="D96" s="6" t="s">
        <v>29</v>
      </c>
      <c r="E96" s="7" t="str">
        <f t="shared" si="1"/>
        <v/>
      </c>
      <c r="F96" s="6" t="s">
        <v>29</v>
      </c>
      <c r="G96" s="6" t="s">
        <v>29</v>
      </c>
      <c r="H96" s="8" t="str">
        <f>IF(A96="","",Bibliotheques!$B$5&amp;IF(RIGHT(Bibliotheques!$B$5,1)="/","","/")&amp;SUBSTITUTE(A96," ","%20"))</f>
        <v/>
      </c>
      <c r="I96" s="6" t="s">
        <v>29</v>
      </c>
      <c r="J96" s="6" t="s">
        <v>29</v>
      </c>
    </row>
    <row r="97" spans="1:10" ht="33.950000000000003" customHeight="1">
      <c r="A97" s="6" t="s">
        <v>29</v>
      </c>
      <c r="B97" s="6" t="s">
        <v>29</v>
      </c>
      <c r="C97" s="7" t="str">
        <f>IF(A97="","",IFERROR(IF(VLOOKUP(B97,Bibliotheques!$A$10:$B$59,2,FALSE)=0,"Nom manquant",VLOOKUP(B97,Bibliotheques!$A$10:$B$59,2,FALSE)),"Clé inconnue"))</f>
        <v/>
      </c>
      <c r="D97" s="6" t="s">
        <v>29</v>
      </c>
      <c r="E97" s="7" t="str">
        <f t="shared" si="1"/>
        <v/>
      </c>
      <c r="F97" s="6" t="s">
        <v>29</v>
      </c>
      <c r="G97" s="6" t="s">
        <v>29</v>
      </c>
      <c r="H97" s="8" t="str">
        <f>IF(A97="","",Bibliotheques!$B$5&amp;IF(RIGHT(Bibliotheques!$B$5,1)="/","","/")&amp;SUBSTITUTE(A97," ","%20"))</f>
        <v/>
      </c>
      <c r="I97" s="6" t="s">
        <v>29</v>
      </c>
      <c r="J97" s="6" t="s">
        <v>29</v>
      </c>
    </row>
    <row r="98" spans="1:10" ht="33.950000000000003" customHeight="1">
      <c r="A98" s="6" t="s">
        <v>29</v>
      </c>
      <c r="B98" s="6" t="s">
        <v>29</v>
      </c>
      <c r="C98" s="7" t="str">
        <f>IF(A98="","",IFERROR(IF(VLOOKUP(B98,Bibliotheques!$A$10:$B$59,2,FALSE)=0,"Nom manquant",VLOOKUP(B98,Bibliotheques!$A$10:$B$59,2,FALSE)),"Clé inconnue"))</f>
        <v/>
      </c>
      <c r="D98" s="6" t="s">
        <v>29</v>
      </c>
      <c r="E98" s="7" t="str">
        <f t="shared" si="1"/>
        <v/>
      </c>
      <c r="F98" s="6" t="s">
        <v>29</v>
      </c>
      <c r="G98" s="6" t="s">
        <v>29</v>
      </c>
      <c r="H98" s="8" t="str">
        <f>IF(A98="","",Bibliotheques!$B$5&amp;IF(RIGHT(Bibliotheques!$B$5,1)="/","","/")&amp;SUBSTITUTE(A98," ","%20"))</f>
        <v/>
      </c>
      <c r="I98" s="6" t="s">
        <v>29</v>
      </c>
      <c r="J98" s="6" t="s">
        <v>29</v>
      </c>
    </row>
    <row r="99" spans="1:10" ht="33.950000000000003" customHeight="1">
      <c r="A99" s="6" t="s">
        <v>29</v>
      </c>
      <c r="B99" s="6" t="s">
        <v>29</v>
      </c>
      <c r="C99" s="7" t="str">
        <f>IF(A99="","",IFERROR(IF(VLOOKUP(B99,Bibliotheques!$A$10:$B$59,2,FALSE)=0,"Nom manquant",VLOOKUP(B99,Bibliotheques!$A$10:$B$59,2,FALSE)),"Clé inconnue"))</f>
        <v/>
      </c>
      <c r="D99" s="6" t="s">
        <v>29</v>
      </c>
      <c r="E99" s="7" t="str">
        <f t="shared" si="1"/>
        <v/>
      </c>
      <c r="F99" s="6" t="s">
        <v>29</v>
      </c>
      <c r="G99" s="6" t="s">
        <v>29</v>
      </c>
      <c r="H99" s="8" t="str">
        <f>IF(A99="","",Bibliotheques!$B$5&amp;IF(RIGHT(Bibliotheques!$B$5,1)="/","","/")&amp;SUBSTITUTE(A99," ","%20"))</f>
        <v/>
      </c>
      <c r="I99" s="6" t="s">
        <v>29</v>
      </c>
      <c r="J99" s="6" t="s">
        <v>29</v>
      </c>
    </row>
    <row r="100" spans="1:10" ht="33.950000000000003" customHeight="1">
      <c r="A100" s="6" t="s">
        <v>29</v>
      </c>
      <c r="B100" s="6" t="s">
        <v>29</v>
      </c>
      <c r="C100" s="7" t="str">
        <f>IF(A100="","",IFERROR(IF(VLOOKUP(B100,Bibliotheques!$A$10:$B$59,2,FALSE)=0,"Nom manquant",VLOOKUP(B100,Bibliotheques!$A$10:$B$59,2,FALSE)),"Clé inconnue"))</f>
        <v/>
      </c>
      <c r="D100" s="6" t="s">
        <v>29</v>
      </c>
      <c r="E100" s="7" t="str">
        <f t="shared" si="1"/>
        <v/>
      </c>
      <c r="F100" s="6" t="s">
        <v>29</v>
      </c>
      <c r="G100" s="6" t="s">
        <v>29</v>
      </c>
      <c r="H100" s="8" t="str">
        <f>IF(A100="","",Bibliotheques!$B$5&amp;IF(RIGHT(Bibliotheques!$B$5,1)="/","","/")&amp;SUBSTITUTE(A100," ","%20"))</f>
        <v/>
      </c>
      <c r="I100" s="6" t="s">
        <v>29</v>
      </c>
      <c r="J100" s="6" t="s">
        <v>29</v>
      </c>
    </row>
    <row r="101" spans="1:10" ht="33.950000000000003" customHeight="1">
      <c r="A101" s="6" t="s">
        <v>29</v>
      </c>
      <c r="B101" s="6" t="s">
        <v>29</v>
      </c>
      <c r="C101" s="7" t="str">
        <f>IF(A101="","",IFERROR(IF(VLOOKUP(B101,Bibliotheques!$A$10:$B$59,2,FALSE)=0,"Nom manquant",VLOOKUP(B101,Bibliotheques!$A$10:$B$59,2,FALSE)),"Clé inconnue"))</f>
        <v/>
      </c>
      <c r="D101" s="6" t="s">
        <v>29</v>
      </c>
      <c r="E101" s="7" t="str">
        <f t="shared" si="1"/>
        <v/>
      </c>
      <c r="F101" s="6" t="s">
        <v>29</v>
      </c>
      <c r="G101" s="6" t="s">
        <v>29</v>
      </c>
      <c r="H101" s="8" t="str">
        <f>IF(A101="","",Bibliotheques!$B$5&amp;IF(RIGHT(Bibliotheques!$B$5,1)="/","","/")&amp;SUBSTITUTE(A101," ","%20"))</f>
        <v/>
      </c>
      <c r="I101" s="6" t="s">
        <v>29</v>
      </c>
      <c r="J101" s="6" t="s">
        <v>29</v>
      </c>
    </row>
    <row r="102" spans="1:10" ht="33.950000000000003" customHeight="1">
      <c r="A102" s="6" t="s">
        <v>29</v>
      </c>
      <c r="B102" s="6" t="s">
        <v>29</v>
      </c>
      <c r="C102" s="7" t="str">
        <f>IF(A102="","",IFERROR(IF(VLOOKUP(B102,Bibliotheques!$A$10:$B$59,2,FALSE)=0,"Nom manquant",VLOOKUP(B102,Bibliotheques!$A$10:$B$59,2,FALSE)),"Clé inconnue"))</f>
        <v/>
      </c>
      <c r="D102" s="6" t="s">
        <v>29</v>
      </c>
      <c r="E102" s="7" t="str">
        <f t="shared" si="1"/>
        <v/>
      </c>
      <c r="F102" s="6" t="s">
        <v>29</v>
      </c>
      <c r="G102" s="6" t="s">
        <v>29</v>
      </c>
      <c r="H102" s="8" t="str">
        <f>IF(A102="","",Bibliotheques!$B$5&amp;IF(RIGHT(Bibliotheques!$B$5,1)="/","","/")&amp;SUBSTITUTE(A102," ","%20"))</f>
        <v/>
      </c>
      <c r="I102" s="6" t="s">
        <v>29</v>
      </c>
      <c r="J102" s="6" t="s">
        <v>29</v>
      </c>
    </row>
    <row r="103" spans="1:10" ht="33.950000000000003" customHeight="1">
      <c r="A103" s="6" t="s">
        <v>29</v>
      </c>
      <c r="B103" s="6" t="s">
        <v>29</v>
      </c>
      <c r="C103" s="7" t="str">
        <f>IF(A103="","",IFERROR(IF(VLOOKUP(B103,Bibliotheques!$A$10:$B$59,2,FALSE)=0,"Nom manquant",VLOOKUP(B103,Bibliotheques!$A$10:$B$59,2,FALSE)),"Clé inconnue"))</f>
        <v/>
      </c>
      <c r="D103" s="6" t="s">
        <v>29</v>
      </c>
      <c r="E103" s="7" t="str">
        <f t="shared" si="1"/>
        <v/>
      </c>
      <c r="F103" s="6" t="s">
        <v>29</v>
      </c>
      <c r="G103" s="6" t="s">
        <v>29</v>
      </c>
      <c r="H103" s="8" t="str">
        <f>IF(A103="","",Bibliotheques!$B$5&amp;IF(RIGHT(Bibliotheques!$B$5,1)="/","","/")&amp;SUBSTITUTE(A103," ","%20"))</f>
        <v/>
      </c>
      <c r="I103" s="6" t="s">
        <v>29</v>
      </c>
      <c r="J103" s="6" t="s">
        <v>29</v>
      </c>
    </row>
    <row r="104" spans="1:10" ht="33.950000000000003" customHeight="1">
      <c r="A104" s="6" t="s">
        <v>29</v>
      </c>
      <c r="B104" s="6" t="s">
        <v>29</v>
      </c>
      <c r="C104" s="7" t="str">
        <f>IF(A104="","",IFERROR(IF(VLOOKUP(B104,Bibliotheques!$A$10:$B$59,2,FALSE)=0,"Nom manquant",VLOOKUP(B104,Bibliotheques!$A$10:$B$59,2,FALSE)),"Clé inconnue"))</f>
        <v/>
      </c>
      <c r="D104" s="6" t="s">
        <v>29</v>
      </c>
      <c r="E104" s="7" t="str">
        <f t="shared" si="1"/>
        <v/>
      </c>
      <c r="F104" s="6" t="s">
        <v>29</v>
      </c>
      <c r="G104" s="6" t="s">
        <v>29</v>
      </c>
      <c r="H104" s="8" t="str">
        <f>IF(A104="","",Bibliotheques!$B$5&amp;IF(RIGHT(Bibliotheques!$B$5,1)="/","","/")&amp;SUBSTITUTE(A104," ","%20"))</f>
        <v/>
      </c>
      <c r="I104" s="6" t="s">
        <v>29</v>
      </c>
      <c r="J104" s="6" t="s">
        <v>29</v>
      </c>
    </row>
    <row r="105" spans="1:10" ht="33.950000000000003" customHeight="1">
      <c r="A105" s="6" t="s">
        <v>29</v>
      </c>
      <c r="B105" s="6" t="s">
        <v>29</v>
      </c>
      <c r="C105" s="7" t="str">
        <f>IF(A105="","",IFERROR(IF(VLOOKUP(B105,Bibliotheques!$A$10:$B$59,2,FALSE)=0,"Nom manquant",VLOOKUP(B105,Bibliotheques!$A$10:$B$59,2,FALSE)),"Clé inconnue"))</f>
        <v/>
      </c>
      <c r="D105" s="6" t="s">
        <v>29</v>
      </c>
      <c r="E105" s="7" t="str">
        <f t="shared" si="1"/>
        <v/>
      </c>
      <c r="F105" s="6" t="s">
        <v>29</v>
      </c>
      <c r="G105" s="6" t="s">
        <v>29</v>
      </c>
      <c r="H105" s="8" t="str">
        <f>IF(A105="","",Bibliotheques!$B$5&amp;IF(RIGHT(Bibliotheques!$B$5,1)="/","","/")&amp;SUBSTITUTE(A105," ","%20"))</f>
        <v/>
      </c>
      <c r="I105" s="6" t="s">
        <v>29</v>
      </c>
      <c r="J105" s="6" t="s">
        <v>29</v>
      </c>
    </row>
    <row r="106" spans="1:10" ht="33.950000000000003" customHeight="1">
      <c r="A106" s="6" t="s">
        <v>29</v>
      </c>
      <c r="B106" s="6" t="s">
        <v>29</v>
      </c>
      <c r="C106" s="7" t="str">
        <f>IF(A106="","",IFERROR(IF(VLOOKUP(B106,Bibliotheques!$A$10:$B$59,2,FALSE)=0,"Nom manquant",VLOOKUP(B106,Bibliotheques!$A$10:$B$59,2,FALSE)),"Clé inconnue"))</f>
        <v/>
      </c>
      <c r="D106" s="6" t="s">
        <v>29</v>
      </c>
      <c r="E106" s="7" t="str">
        <f t="shared" si="1"/>
        <v/>
      </c>
      <c r="F106" s="6" t="s">
        <v>29</v>
      </c>
      <c r="G106" s="6" t="s">
        <v>29</v>
      </c>
      <c r="H106" s="8" t="str">
        <f>IF(A106="","",Bibliotheques!$B$5&amp;IF(RIGHT(Bibliotheques!$B$5,1)="/","","/")&amp;SUBSTITUTE(A106," ","%20"))</f>
        <v/>
      </c>
      <c r="I106" s="6" t="s">
        <v>29</v>
      </c>
      <c r="J106" s="6" t="s">
        <v>29</v>
      </c>
    </row>
    <row r="107" spans="1:10" ht="33.950000000000003" customHeight="1">
      <c r="A107" s="6" t="s">
        <v>29</v>
      </c>
      <c r="B107" s="6" t="s">
        <v>29</v>
      </c>
      <c r="C107" s="7" t="str">
        <f>IF(A107="","",IFERROR(IF(VLOOKUP(B107,Bibliotheques!$A$10:$B$59,2,FALSE)=0,"Nom manquant",VLOOKUP(B107,Bibliotheques!$A$10:$B$59,2,FALSE)),"Clé inconnue"))</f>
        <v/>
      </c>
      <c r="D107" s="6" t="s">
        <v>29</v>
      </c>
      <c r="E107" s="7" t="str">
        <f t="shared" si="1"/>
        <v/>
      </c>
      <c r="F107" s="6" t="s">
        <v>29</v>
      </c>
      <c r="G107" s="6" t="s">
        <v>29</v>
      </c>
      <c r="H107" s="8" t="str">
        <f>IF(A107="","",Bibliotheques!$B$5&amp;IF(RIGHT(Bibliotheques!$B$5,1)="/","","/")&amp;SUBSTITUTE(A107," ","%20"))</f>
        <v/>
      </c>
      <c r="I107" s="6" t="s">
        <v>29</v>
      </c>
      <c r="J107" s="6" t="s">
        <v>29</v>
      </c>
    </row>
    <row r="108" spans="1:10" ht="33.950000000000003" customHeight="1">
      <c r="A108" s="6" t="s">
        <v>29</v>
      </c>
      <c r="B108" s="6" t="s">
        <v>29</v>
      </c>
      <c r="C108" s="7" t="str">
        <f>IF(A108="","",IFERROR(IF(VLOOKUP(B108,Bibliotheques!$A$10:$B$59,2,FALSE)=0,"Nom manquant",VLOOKUP(B108,Bibliotheques!$A$10:$B$59,2,FALSE)),"Clé inconnue"))</f>
        <v/>
      </c>
      <c r="D108" s="6" t="s">
        <v>29</v>
      </c>
      <c r="E108" s="7" t="str">
        <f t="shared" si="1"/>
        <v/>
      </c>
      <c r="F108" s="6" t="s">
        <v>29</v>
      </c>
      <c r="G108" s="6" t="s">
        <v>29</v>
      </c>
      <c r="H108" s="8" t="str">
        <f>IF(A108="","",Bibliotheques!$B$5&amp;IF(RIGHT(Bibliotheques!$B$5,1)="/","","/")&amp;SUBSTITUTE(A108," ","%20"))</f>
        <v/>
      </c>
      <c r="I108" s="6" t="s">
        <v>29</v>
      </c>
      <c r="J108" s="6" t="s">
        <v>29</v>
      </c>
    </row>
    <row r="109" spans="1:10" ht="33.950000000000003" customHeight="1">
      <c r="A109" s="6" t="s">
        <v>29</v>
      </c>
      <c r="B109" s="6" t="s">
        <v>29</v>
      </c>
      <c r="C109" s="7" t="str">
        <f>IF(A109="","",IFERROR(IF(VLOOKUP(B109,Bibliotheques!$A$10:$B$59,2,FALSE)=0,"Nom manquant",VLOOKUP(B109,Bibliotheques!$A$10:$B$59,2,FALSE)),"Clé inconnue"))</f>
        <v/>
      </c>
      <c r="D109" s="6" t="s">
        <v>29</v>
      </c>
      <c r="E109" s="7" t="str">
        <f t="shared" si="1"/>
        <v/>
      </c>
      <c r="F109" s="6" t="s">
        <v>29</v>
      </c>
      <c r="G109" s="6" t="s">
        <v>29</v>
      </c>
      <c r="H109" s="8" t="str">
        <f>IF(A109="","",Bibliotheques!$B$5&amp;IF(RIGHT(Bibliotheques!$B$5,1)="/","","/")&amp;SUBSTITUTE(A109," ","%20"))</f>
        <v/>
      </c>
      <c r="I109" s="6" t="s">
        <v>29</v>
      </c>
      <c r="J109" s="6" t="s">
        <v>29</v>
      </c>
    </row>
    <row r="110" spans="1:10" ht="33.950000000000003" customHeight="1">
      <c r="A110" s="6" t="s">
        <v>29</v>
      </c>
      <c r="B110" s="6" t="s">
        <v>29</v>
      </c>
      <c r="C110" s="7" t="str">
        <f>IF(A110="","",IFERROR(IF(VLOOKUP(B110,Bibliotheques!$A$10:$B$59,2,FALSE)=0,"Nom manquant",VLOOKUP(B110,Bibliotheques!$A$10:$B$59,2,FALSE)),"Clé inconnue"))</f>
        <v/>
      </c>
      <c r="D110" s="6" t="s">
        <v>29</v>
      </c>
      <c r="E110" s="7" t="str">
        <f t="shared" si="1"/>
        <v/>
      </c>
      <c r="F110" s="6" t="s">
        <v>29</v>
      </c>
      <c r="G110" s="6" t="s">
        <v>29</v>
      </c>
      <c r="H110" s="8" t="str">
        <f>IF(A110="","",Bibliotheques!$B$5&amp;IF(RIGHT(Bibliotheques!$B$5,1)="/","","/")&amp;SUBSTITUTE(A110," ","%20"))</f>
        <v/>
      </c>
      <c r="I110" s="6" t="s">
        <v>29</v>
      </c>
      <c r="J110" s="6" t="s">
        <v>29</v>
      </c>
    </row>
    <row r="111" spans="1:10" ht="33.950000000000003" customHeight="1">
      <c r="A111" s="6" t="s">
        <v>29</v>
      </c>
      <c r="B111" s="6" t="s">
        <v>29</v>
      </c>
      <c r="C111" s="7" t="str">
        <f>IF(A111="","",IFERROR(IF(VLOOKUP(B111,Bibliotheques!$A$10:$B$59,2,FALSE)=0,"Nom manquant",VLOOKUP(B111,Bibliotheques!$A$10:$B$59,2,FALSE)),"Clé inconnue"))</f>
        <v/>
      </c>
      <c r="D111" s="6" t="s">
        <v>29</v>
      </c>
      <c r="E111" s="7" t="str">
        <f t="shared" si="1"/>
        <v/>
      </c>
      <c r="F111" s="6" t="s">
        <v>29</v>
      </c>
      <c r="G111" s="6" t="s">
        <v>29</v>
      </c>
      <c r="H111" s="8" t="str">
        <f>IF(A111="","",Bibliotheques!$B$5&amp;IF(RIGHT(Bibliotheques!$B$5,1)="/","","/")&amp;SUBSTITUTE(A111," ","%20"))</f>
        <v/>
      </c>
      <c r="I111" s="6" t="s">
        <v>29</v>
      </c>
      <c r="J111" s="6" t="s">
        <v>29</v>
      </c>
    </row>
    <row r="112" spans="1:10" ht="33.950000000000003" customHeight="1">
      <c r="A112" s="6" t="s">
        <v>29</v>
      </c>
      <c r="B112" s="6" t="s">
        <v>29</v>
      </c>
      <c r="C112" s="7" t="str">
        <f>IF(A112="","",IFERROR(IF(VLOOKUP(B112,Bibliotheques!$A$10:$B$59,2,FALSE)=0,"Nom manquant",VLOOKUP(B112,Bibliotheques!$A$10:$B$59,2,FALSE)),"Clé inconnue"))</f>
        <v/>
      </c>
      <c r="D112" s="6" t="s">
        <v>29</v>
      </c>
      <c r="E112" s="7" t="str">
        <f t="shared" si="1"/>
        <v/>
      </c>
      <c r="F112" s="6" t="s">
        <v>29</v>
      </c>
      <c r="G112" s="6" t="s">
        <v>29</v>
      </c>
      <c r="H112" s="8" t="str">
        <f>IF(A112="","",Bibliotheques!$B$5&amp;IF(RIGHT(Bibliotheques!$B$5,1)="/","","/")&amp;SUBSTITUTE(A112," ","%20"))</f>
        <v/>
      </c>
      <c r="I112" s="6" t="s">
        <v>29</v>
      </c>
      <c r="J112" s="6" t="s">
        <v>29</v>
      </c>
    </row>
    <row r="113" spans="1:10" ht="33.950000000000003" customHeight="1">
      <c r="A113" s="6" t="s">
        <v>29</v>
      </c>
      <c r="B113" s="6" t="s">
        <v>29</v>
      </c>
      <c r="C113" s="7" t="str">
        <f>IF(A113="","",IFERROR(IF(VLOOKUP(B113,Bibliotheques!$A$10:$B$59,2,FALSE)=0,"Nom manquant",VLOOKUP(B113,Bibliotheques!$A$10:$B$59,2,FALSE)),"Clé inconnue"))</f>
        <v/>
      </c>
      <c r="D113" s="6" t="s">
        <v>29</v>
      </c>
      <c r="E113" s="7" t="str">
        <f t="shared" si="1"/>
        <v/>
      </c>
      <c r="F113" s="6" t="s">
        <v>29</v>
      </c>
      <c r="G113" s="6" t="s">
        <v>29</v>
      </c>
      <c r="H113" s="8" t="str">
        <f>IF(A113="","",Bibliotheques!$B$5&amp;IF(RIGHT(Bibliotheques!$B$5,1)="/","","/")&amp;SUBSTITUTE(A113," ","%20"))</f>
        <v/>
      </c>
      <c r="I113" s="6" t="s">
        <v>29</v>
      </c>
      <c r="J113" s="6" t="s">
        <v>29</v>
      </c>
    </row>
    <row r="114" spans="1:10" ht="33.950000000000003" customHeight="1">
      <c r="A114" s="6" t="s">
        <v>29</v>
      </c>
      <c r="B114" s="6" t="s">
        <v>29</v>
      </c>
      <c r="C114" s="7" t="str">
        <f>IF(A114="","",IFERROR(IF(VLOOKUP(B114,Bibliotheques!$A$10:$B$59,2,FALSE)=0,"Nom manquant",VLOOKUP(B114,Bibliotheques!$A$10:$B$59,2,FALSE)),"Clé inconnue"))</f>
        <v/>
      </c>
      <c r="D114" s="6" t="s">
        <v>29</v>
      </c>
      <c r="E114" s="7" t="str">
        <f t="shared" si="1"/>
        <v/>
      </c>
      <c r="F114" s="6" t="s">
        <v>29</v>
      </c>
      <c r="G114" s="6" t="s">
        <v>29</v>
      </c>
      <c r="H114" s="8" t="str">
        <f>IF(A114="","",Bibliotheques!$B$5&amp;IF(RIGHT(Bibliotheques!$B$5,1)="/","","/")&amp;SUBSTITUTE(A114," ","%20"))</f>
        <v/>
      </c>
      <c r="I114" s="6" t="s">
        <v>29</v>
      </c>
      <c r="J114" s="6" t="s">
        <v>29</v>
      </c>
    </row>
    <row r="115" spans="1:10" ht="33.950000000000003" customHeight="1">
      <c r="A115" s="6" t="s">
        <v>29</v>
      </c>
      <c r="B115" s="6" t="s">
        <v>29</v>
      </c>
      <c r="C115" s="7" t="str">
        <f>IF(A115="","",IFERROR(IF(VLOOKUP(B115,Bibliotheques!$A$10:$B$59,2,FALSE)=0,"Nom manquant",VLOOKUP(B115,Bibliotheques!$A$10:$B$59,2,FALSE)),"Clé inconnue"))</f>
        <v/>
      </c>
      <c r="D115" s="6" t="s">
        <v>29</v>
      </c>
      <c r="E115" s="7" t="str">
        <f t="shared" si="1"/>
        <v/>
      </c>
      <c r="F115" s="6" t="s">
        <v>29</v>
      </c>
      <c r="G115" s="6" t="s">
        <v>29</v>
      </c>
      <c r="H115" s="8" t="str">
        <f>IF(A115="","",Bibliotheques!$B$5&amp;IF(RIGHT(Bibliotheques!$B$5,1)="/","","/")&amp;SUBSTITUTE(A115," ","%20"))</f>
        <v/>
      </c>
      <c r="I115" s="6" t="s">
        <v>29</v>
      </c>
      <c r="J115" s="6" t="s">
        <v>29</v>
      </c>
    </row>
    <row r="116" spans="1:10" ht="33.950000000000003" customHeight="1">
      <c r="A116" s="6" t="s">
        <v>29</v>
      </c>
      <c r="B116" s="6" t="s">
        <v>29</v>
      </c>
      <c r="C116" s="7" t="str">
        <f>IF(A116="","",IFERROR(IF(VLOOKUP(B116,Bibliotheques!$A$10:$B$59,2,FALSE)=0,"Nom manquant",VLOOKUP(B116,Bibliotheques!$A$10:$B$59,2,FALSE)),"Clé inconnue"))</f>
        <v/>
      </c>
      <c r="D116" s="6" t="s">
        <v>29</v>
      </c>
      <c r="E116" s="7" t="str">
        <f t="shared" si="1"/>
        <v/>
      </c>
      <c r="F116" s="6" t="s">
        <v>29</v>
      </c>
      <c r="G116" s="6" t="s">
        <v>29</v>
      </c>
      <c r="H116" s="8" t="str">
        <f>IF(A116="","",Bibliotheques!$B$5&amp;IF(RIGHT(Bibliotheques!$B$5,1)="/","","/")&amp;SUBSTITUTE(A116," ","%20"))</f>
        <v/>
      </c>
      <c r="I116" s="6" t="s">
        <v>29</v>
      </c>
      <c r="J116" s="6" t="s">
        <v>29</v>
      </c>
    </row>
    <row r="117" spans="1:10" ht="33.950000000000003" customHeight="1">
      <c r="A117" s="6" t="s">
        <v>29</v>
      </c>
      <c r="B117" s="6" t="s">
        <v>29</v>
      </c>
      <c r="C117" s="7" t="str">
        <f>IF(A117="","",IFERROR(IF(VLOOKUP(B117,Bibliotheques!$A$10:$B$59,2,FALSE)=0,"Nom manquant",VLOOKUP(B117,Bibliotheques!$A$10:$B$59,2,FALSE)),"Clé inconnue"))</f>
        <v/>
      </c>
      <c r="D117" s="6" t="s">
        <v>29</v>
      </c>
      <c r="E117" s="7" t="str">
        <f t="shared" si="1"/>
        <v/>
      </c>
      <c r="F117" s="6" t="s">
        <v>29</v>
      </c>
      <c r="G117" s="6" t="s">
        <v>29</v>
      </c>
      <c r="H117" s="8" t="str">
        <f>IF(A117="","",Bibliotheques!$B$5&amp;IF(RIGHT(Bibliotheques!$B$5,1)="/","","/")&amp;SUBSTITUTE(A117," ","%20"))</f>
        <v/>
      </c>
      <c r="I117" s="6" t="s">
        <v>29</v>
      </c>
      <c r="J117" s="6" t="s">
        <v>29</v>
      </c>
    </row>
    <row r="118" spans="1:10" ht="33.950000000000003" customHeight="1">
      <c r="A118" s="6" t="s">
        <v>29</v>
      </c>
      <c r="B118" s="6" t="s">
        <v>29</v>
      </c>
      <c r="C118" s="7" t="str">
        <f>IF(A118="","",IFERROR(IF(VLOOKUP(B118,Bibliotheques!$A$10:$B$59,2,FALSE)=0,"Nom manquant",VLOOKUP(B118,Bibliotheques!$A$10:$B$59,2,FALSE)),"Clé inconnue"))</f>
        <v/>
      </c>
      <c r="D118" s="6" t="s">
        <v>29</v>
      </c>
      <c r="E118" s="7" t="str">
        <f t="shared" si="1"/>
        <v/>
      </c>
      <c r="F118" s="6" t="s">
        <v>29</v>
      </c>
      <c r="G118" s="6" t="s">
        <v>29</v>
      </c>
      <c r="H118" s="8" t="str">
        <f>IF(A118="","",Bibliotheques!$B$5&amp;IF(RIGHT(Bibliotheques!$B$5,1)="/","","/")&amp;SUBSTITUTE(A118," ","%20"))</f>
        <v/>
      </c>
      <c r="I118" s="6" t="s">
        <v>29</v>
      </c>
      <c r="J118" s="6" t="s">
        <v>29</v>
      </c>
    </row>
    <row r="119" spans="1:10" ht="33.950000000000003" customHeight="1">
      <c r="A119" s="6" t="s">
        <v>29</v>
      </c>
      <c r="B119" s="6" t="s">
        <v>29</v>
      </c>
      <c r="C119" s="7" t="str">
        <f>IF(A119="","",IFERROR(IF(VLOOKUP(B119,Bibliotheques!$A$10:$B$59,2,FALSE)=0,"Nom manquant",VLOOKUP(B119,Bibliotheques!$A$10:$B$59,2,FALSE)),"Clé inconnue"))</f>
        <v/>
      </c>
      <c r="D119" s="6" t="s">
        <v>29</v>
      </c>
      <c r="E119" s="7" t="str">
        <f t="shared" si="1"/>
        <v/>
      </c>
      <c r="F119" s="6" t="s">
        <v>29</v>
      </c>
      <c r="G119" s="6" t="s">
        <v>29</v>
      </c>
      <c r="H119" s="8" t="str">
        <f>IF(A119="","",Bibliotheques!$B$5&amp;IF(RIGHT(Bibliotheques!$B$5,1)="/","","/")&amp;SUBSTITUTE(A119," ","%20"))</f>
        <v/>
      </c>
      <c r="I119" s="6" t="s">
        <v>29</v>
      </c>
      <c r="J119" s="6" t="s">
        <v>29</v>
      </c>
    </row>
    <row r="120" spans="1:10" ht="33.950000000000003" customHeight="1">
      <c r="A120" s="6" t="s">
        <v>29</v>
      </c>
      <c r="B120" s="6" t="s">
        <v>29</v>
      </c>
      <c r="C120" s="7" t="str">
        <f>IF(A120="","",IFERROR(IF(VLOOKUP(B120,Bibliotheques!$A$10:$B$59,2,FALSE)=0,"Nom manquant",VLOOKUP(B120,Bibliotheques!$A$10:$B$59,2,FALSE)),"Clé inconnue"))</f>
        <v/>
      </c>
      <c r="D120" s="6" t="s">
        <v>29</v>
      </c>
      <c r="E120" s="7" t="str">
        <f t="shared" si="1"/>
        <v/>
      </c>
      <c r="F120" s="6" t="s">
        <v>29</v>
      </c>
      <c r="G120" s="6" t="s">
        <v>29</v>
      </c>
      <c r="H120" s="8" t="str">
        <f>IF(A120="","",Bibliotheques!$B$5&amp;IF(RIGHT(Bibliotheques!$B$5,1)="/","","/")&amp;SUBSTITUTE(A120," ","%20"))</f>
        <v/>
      </c>
      <c r="I120" s="6" t="s">
        <v>29</v>
      </c>
      <c r="J120" s="6" t="s">
        <v>29</v>
      </c>
    </row>
    <row r="121" spans="1:10" ht="33.950000000000003" customHeight="1">
      <c r="A121" s="6" t="s">
        <v>29</v>
      </c>
      <c r="B121" s="6" t="s">
        <v>29</v>
      </c>
      <c r="C121" s="7" t="str">
        <f>IF(A121="","",IFERROR(IF(VLOOKUP(B121,Bibliotheques!$A$10:$B$59,2,FALSE)=0,"Nom manquant",VLOOKUP(B121,Bibliotheques!$A$10:$B$59,2,FALSE)),"Clé inconnue"))</f>
        <v/>
      </c>
      <c r="D121" s="6" t="s">
        <v>29</v>
      </c>
      <c r="E121" s="7" t="str">
        <f t="shared" si="1"/>
        <v/>
      </c>
      <c r="F121" s="6" t="s">
        <v>29</v>
      </c>
      <c r="G121" s="6" t="s">
        <v>29</v>
      </c>
      <c r="H121" s="8" t="str">
        <f>IF(A121="","",Bibliotheques!$B$5&amp;IF(RIGHT(Bibliotheques!$B$5,1)="/","","/")&amp;SUBSTITUTE(A121," ","%20"))</f>
        <v/>
      </c>
      <c r="I121" s="6" t="s">
        <v>29</v>
      </c>
      <c r="J121" s="6" t="s">
        <v>29</v>
      </c>
    </row>
    <row r="122" spans="1:10" ht="33.950000000000003" customHeight="1">
      <c r="A122" s="6" t="s">
        <v>29</v>
      </c>
      <c r="B122" s="6" t="s">
        <v>29</v>
      </c>
      <c r="C122" s="7" t="str">
        <f>IF(A122="","",IFERROR(IF(VLOOKUP(B122,Bibliotheques!$A$10:$B$59,2,FALSE)=0,"Nom manquant",VLOOKUP(B122,Bibliotheques!$A$10:$B$59,2,FALSE)),"Clé inconnue"))</f>
        <v/>
      </c>
      <c r="D122" s="6" t="s">
        <v>29</v>
      </c>
      <c r="E122" s="7" t="str">
        <f t="shared" si="1"/>
        <v/>
      </c>
      <c r="F122" s="6" t="s">
        <v>29</v>
      </c>
      <c r="G122" s="6" t="s">
        <v>29</v>
      </c>
      <c r="H122" s="8" t="str">
        <f>IF(A122="","",Bibliotheques!$B$5&amp;IF(RIGHT(Bibliotheques!$B$5,1)="/","","/")&amp;SUBSTITUTE(A122," ","%20"))</f>
        <v/>
      </c>
      <c r="I122" s="6" t="s">
        <v>29</v>
      </c>
      <c r="J122" s="6" t="s">
        <v>29</v>
      </c>
    </row>
    <row r="123" spans="1:10" ht="33.950000000000003" customHeight="1">
      <c r="A123" s="6" t="s">
        <v>29</v>
      </c>
      <c r="B123" s="6" t="s">
        <v>29</v>
      </c>
      <c r="C123" s="7" t="str">
        <f>IF(A123="","",IFERROR(IF(VLOOKUP(B123,Bibliotheques!$A$10:$B$59,2,FALSE)=0,"Nom manquant",VLOOKUP(B123,Bibliotheques!$A$10:$B$59,2,FALSE)),"Clé inconnue"))</f>
        <v/>
      </c>
      <c r="D123" s="6" t="s">
        <v>29</v>
      </c>
      <c r="E123" s="7" t="str">
        <f t="shared" si="1"/>
        <v/>
      </c>
      <c r="F123" s="6" t="s">
        <v>29</v>
      </c>
      <c r="G123" s="6" t="s">
        <v>29</v>
      </c>
      <c r="H123" s="8" t="str">
        <f>IF(A123="","",Bibliotheques!$B$5&amp;IF(RIGHT(Bibliotheques!$B$5,1)="/","","/")&amp;SUBSTITUTE(A123," ","%20"))</f>
        <v/>
      </c>
      <c r="I123" s="6" t="s">
        <v>29</v>
      </c>
      <c r="J123" s="6" t="s">
        <v>29</v>
      </c>
    </row>
    <row r="124" spans="1:10" ht="33.950000000000003" customHeight="1">
      <c r="A124" s="6" t="s">
        <v>29</v>
      </c>
      <c r="B124" s="6" t="s">
        <v>29</v>
      </c>
      <c r="C124" s="7" t="str">
        <f>IF(A124="","",IFERROR(IF(VLOOKUP(B124,Bibliotheques!$A$10:$B$59,2,FALSE)=0,"Nom manquant",VLOOKUP(B124,Bibliotheques!$A$10:$B$59,2,FALSE)),"Clé inconnue"))</f>
        <v/>
      </c>
      <c r="D124" s="6" t="s">
        <v>29</v>
      </c>
      <c r="E124" s="7" t="str">
        <f t="shared" si="1"/>
        <v/>
      </c>
      <c r="F124" s="6" t="s">
        <v>29</v>
      </c>
      <c r="G124" s="6" t="s">
        <v>29</v>
      </c>
      <c r="H124" s="8" t="str">
        <f>IF(A124="","",Bibliotheques!$B$5&amp;IF(RIGHT(Bibliotheques!$B$5,1)="/","","/")&amp;SUBSTITUTE(A124," ","%20"))</f>
        <v/>
      </c>
      <c r="I124" s="6" t="s">
        <v>29</v>
      </c>
      <c r="J124" s="6" t="s">
        <v>29</v>
      </c>
    </row>
    <row r="125" spans="1:10" ht="33.950000000000003" customHeight="1">
      <c r="A125" s="6" t="s">
        <v>29</v>
      </c>
      <c r="B125" s="6" t="s">
        <v>29</v>
      </c>
      <c r="C125" s="7" t="str">
        <f>IF(A125="","",IFERROR(IF(VLOOKUP(B125,Bibliotheques!$A$10:$B$59,2,FALSE)=0,"Nom manquant",VLOOKUP(B125,Bibliotheques!$A$10:$B$59,2,FALSE)),"Clé inconnue"))</f>
        <v/>
      </c>
      <c r="D125" s="6" t="s">
        <v>29</v>
      </c>
      <c r="E125" s="7" t="str">
        <f t="shared" si="1"/>
        <v/>
      </c>
      <c r="F125" s="6" t="s">
        <v>29</v>
      </c>
      <c r="G125" s="6" t="s">
        <v>29</v>
      </c>
      <c r="H125" s="8" t="str">
        <f>IF(A125="","",Bibliotheques!$B$5&amp;IF(RIGHT(Bibliotheques!$B$5,1)="/","","/")&amp;SUBSTITUTE(A125," ","%20"))</f>
        <v/>
      </c>
      <c r="I125" s="6" t="s">
        <v>29</v>
      </c>
      <c r="J125" s="6" t="s">
        <v>29</v>
      </c>
    </row>
    <row r="126" spans="1:10" ht="33.950000000000003" customHeight="1">
      <c r="A126" s="6" t="s">
        <v>29</v>
      </c>
      <c r="B126" s="6" t="s">
        <v>29</v>
      </c>
      <c r="C126" s="7" t="str">
        <f>IF(A126="","",IFERROR(IF(VLOOKUP(B126,Bibliotheques!$A$10:$B$59,2,FALSE)=0,"Nom manquant",VLOOKUP(B126,Bibliotheques!$A$10:$B$59,2,FALSE)),"Clé inconnue"))</f>
        <v/>
      </c>
      <c r="D126" s="6" t="s">
        <v>29</v>
      </c>
      <c r="E126" s="7" t="str">
        <f t="shared" si="1"/>
        <v/>
      </c>
      <c r="F126" s="6" t="s">
        <v>29</v>
      </c>
      <c r="G126" s="6" t="s">
        <v>29</v>
      </c>
      <c r="H126" s="8" t="str">
        <f>IF(A126="","",Bibliotheques!$B$5&amp;IF(RIGHT(Bibliotheques!$B$5,1)="/","","/")&amp;SUBSTITUTE(A126," ","%20"))</f>
        <v/>
      </c>
      <c r="I126" s="6" t="s">
        <v>29</v>
      </c>
      <c r="J126" s="6" t="s">
        <v>29</v>
      </c>
    </row>
    <row r="127" spans="1:10" ht="33.950000000000003" customHeight="1">
      <c r="A127" s="6" t="s">
        <v>29</v>
      </c>
      <c r="B127" s="6" t="s">
        <v>29</v>
      </c>
      <c r="C127" s="7" t="str">
        <f>IF(A127="","",IFERROR(IF(VLOOKUP(B127,Bibliotheques!$A$10:$B$59,2,FALSE)=0,"Nom manquant",VLOOKUP(B127,Bibliotheques!$A$10:$B$59,2,FALSE)),"Clé inconnue"))</f>
        <v/>
      </c>
      <c r="D127" s="6" t="s">
        <v>29</v>
      </c>
      <c r="E127" s="7" t="str">
        <f t="shared" si="1"/>
        <v/>
      </c>
      <c r="F127" s="6" t="s">
        <v>29</v>
      </c>
      <c r="G127" s="6" t="s">
        <v>29</v>
      </c>
      <c r="H127" s="8" t="str">
        <f>IF(A127="","",Bibliotheques!$B$5&amp;IF(RIGHT(Bibliotheques!$B$5,1)="/","","/")&amp;SUBSTITUTE(A127," ","%20"))</f>
        <v/>
      </c>
      <c r="I127" s="6" t="s">
        <v>29</v>
      </c>
      <c r="J127" s="6" t="s">
        <v>29</v>
      </c>
    </row>
    <row r="128" spans="1:10" ht="33.950000000000003" customHeight="1">
      <c r="A128" s="6" t="s">
        <v>29</v>
      </c>
      <c r="B128" s="6" t="s">
        <v>29</v>
      </c>
      <c r="C128" s="7" t="str">
        <f>IF(A128="","",IFERROR(IF(VLOOKUP(B128,Bibliotheques!$A$10:$B$59,2,FALSE)=0,"Nom manquant",VLOOKUP(B128,Bibliotheques!$A$10:$B$59,2,FALSE)),"Clé inconnue"))</f>
        <v/>
      </c>
      <c r="D128" s="6" t="s">
        <v>29</v>
      </c>
      <c r="E128" s="7" t="str">
        <f t="shared" si="1"/>
        <v/>
      </c>
      <c r="F128" s="6" t="s">
        <v>29</v>
      </c>
      <c r="G128" s="6" t="s">
        <v>29</v>
      </c>
      <c r="H128" s="8" t="str">
        <f>IF(A128="","",Bibliotheques!$B$5&amp;IF(RIGHT(Bibliotheques!$B$5,1)="/","","/")&amp;SUBSTITUTE(A128," ","%20"))</f>
        <v/>
      </c>
      <c r="I128" s="6" t="s">
        <v>29</v>
      </c>
      <c r="J128" s="6" t="s">
        <v>29</v>
      </c>
    </row>
    <row r="129" spans="1:10" ht="33.950000000000003" customHeight="1">
      <c r="A129" s="6" t="s">
        <v>29</v>
      </c>
      <c r="B129" s="6" t="s">
        <v>29</v>
      </c>
      <c r="C129" s="7" t="str">
        <f>IF(A129="","",IFERROR(IF(VLOOKUP(B129,Bibliotheques!$A$10:$B$59,2,FALSE)=0,"Nom manquant",VLOOKUP(B129,Bibliotheques!$A$10:$B$59,2,FALSE)),"Clé inconnue"))</f>
        <v/>
      </c>
      <c r="D129" s="6" t="s">
        <v>29</v>
      </c>
      <c r="E129" s="7" t="str">
        <f t="shared" si="1"/>
        <v/>
      </c>
      <c r="F129" s="6" t="s">
        <v>29</v>
      </c>
      <c r="G129" s="6" t="s">
        <v>29</v>
      </c>
      <c r="H129" s="8" t="str">
        <f>IF(A129="","",Bibliotheques!$B$5&amp;IF(RIGHT(Bibliotheques!$B$5,1)="/","","/")&amp;SUBSTITUTE(A129," ","%20"))</f>
        <v/>
      </c>
      <c r="I129" s="6" t="s">
        <v>29</v>
      </c>
      <c r="J129" s="6" t="s">
        <v>29</v>
      </c>
    </row>
    <row r="130" spans="1:10" ht="33.950000000000003" customHeight="1">
      <c r="A130" s="6" t="s">
        <v>29</v>
      </c>
      <c r="B130" s="6" t="s">
        <v>29</v>
      </c>
      <c r="C130" s="7" t="str">
        <f>IF(A130="","",IFERROR(IF(VLOOKUP(B130,Bibliotheques!$A$10:$B$59,2,FALSE)=0,"Nom manquant",VLOOKUP(B130,Bibliotheques!$A$10:$B$59,2,FALSE)),"Clé inconnue"))</f>
        <v/>
      </c>
      <c r="D130" s="6" t="s">
        <v>29</v>
      </c>
      <c r="E130" s="7" t="str">
        <f t="shared" si="1"/>
        <v/>
      </c>
      <c r="F130" s="6" t="s">
        <v>29</v>
      </c>
      <c r="G130" s="6" t="s">
        <v>29</v>
      </c>
      <c r="H130" s="8" t="str">
        <f>IF(A130="","",Bibliotheques!$B$5&amp;IF(RIGHT(Bibliotheques!$B$5,1)="/","","/")&amp;SUBSTITUTE(A130," ","%20"))</f>
        <v/>
      </c>
      <c r="I130" s="6" t="s">
        <v>29</v>
      </c>
      <c r="J130" s="6" t="s">
        <v>29</v>
      </c>
    </row>
    <row r="131" spans="1:10" ht="33.950000000000003" customHeight="1">
      <c r="A131" s="6" t="s">
        <v>29</v>
      </c>
      <c r="B131" s="6" t="s">
        <v>29</v>
      </c>
      <c r="C131" s="7" t="str">
        <f>IF(A131="","",IFERROR(IF(VLOOKUP(B131,Bibliotheques!$A$10:$B$59,2,FALSE)=0,"Nom manquant",VLOOKUP(B131,Bibliotheques!$A$10:$B$59,2,FALSE)),"Clé inconnue"))</f>
        <v/>
      </c>
      <c r="D131" s="6" t="s">
        <v>29</v>
      </c>
      <c r="E131" s="7" t="str">
        <f t="shared" si="1"/>
        <v/>
      </c>
      <c r="F131" s="6" t="s">
        <v>29</v>
      </c>
      <c r="G131" s="6" t="s">
        <v>29</v>
      </c>
      <c r="H131" s="8" t="str">
        <f>IF(A131="","",Bibliotheques!$B$5&amp;IF(RIGHT(Bibliotheques!$B$5,1)="/","","/")&amp;SUBSTITUTE(A131," ","%20"))</f>
        <v/>
      </c>
      <c r="I131" s="6" t="s">
        <v>29</v>
      </c>
      <c r="J131" s="6" t="s">
        <v>29</v>
      </c>
    </row>
    <row r="132" spans="1:10" ht="33.950000000000003" customHeight="1">
      <c r="A132" s="6" t="s">
        <v>29</v>
      </c>
      <c r="B132" s="6" t="s">
        <v>29</v>
      </c>
      <c r="C132" s="7" t="str">
        <f>IF(A132="","",IFERROR(IF(VLOOKUP(B132,Bibliotheques!$A$10:$B$59,2,FALSE)=0,"Nom manquant",VLOOKUP(B132,Bibliotheques!$A$10:$B$59,2,FALSE)),"Clé inconnue"))</f>
        <v/>
      </c>
      <c r="D132" s="6" t="s">
        <v>29</v>
      </c>
      <c r="E132" s="7" t="str">
        <f t="shared" si="1"/>
        <v/>
      </c>
      <c r="F132" s="6" t="s">
        <v>29</v>
      </c>
      <c r="G132" s="6" t="s">
        <v>29</v>
      </c>
      <c r="H132" s="8" t="str">
        <f>IF(A132="","",Bibliotheques!$B$5&amp;IF(RIGHT(Bibliotheques!$B$5,1)="/","","/")&amp;SUBSTITUTE(A132," ","%20"))</f>
        <v/>
      </c>
      <c r="I132" s="6" t="s">
        <v>29</v>
      </c>
      <c r="J132" s="6" t="s">
        <v>29</v>
      </c>
    </row>
    <row r="133" spans="1:10" ht="33.950000000000003" customHeight="1">
      <c r="A133" s="6" t="s">
        <v>29</v>
      </c>
      <c r="B133" s="6" t="s">
        <v>29</v>
      </c>
      <c r="C133" s="7" t="str">
        <f>IF(A133="","",IFERROR(IF(VLOOKUP(B133,Bibliotheques!$A$10:$B$59,2,FALSE)=0,"Nom manquant",VLOOKUP(B133,Bibliotheques!$A$10:$B$59,2,FALSE)),"Clé inconnue"))</f>
        <v/>
      </c>
      <c r="D133" s="6" t="s">
        <v>29</v>
      </c>
      <c r="E133" s="7" t="str">
        <f t="shared" si="1"/>
        <v/>
      </c>
      <c r="F133" s="6" t="s">
        <v>29</v>
      </c>
      <c r="G133" s="6" t="s">
        <v>29</v>
      </c>
      <c r="H133" s="8" t="str">
        <f>IF(A133="","",Bibliotheques!$B$5&amp;IF(RIGHT(Bibliotheques!$B$5,1)="/","","/")&amp;SUBSTITUTE(A133," ","%20"))</f>
        <v/>
      </c>
      <c r="I133" s="6" t="s">
        <v>29</v>
      </c>
      <c r="J133" s="6" t="s">
        <v>29</v>
      </c>
    </row>
    <row r="134" spans="1:10" ht="33.950000000000003" customHeight="1">
      <c r="A134" s="6" t="s">
        <v>29</v>
      </c>
      <c r="B134" s="6" t="s">
        <v>29</v>
      </c>
      <c r="C134" s="7" t="str">
        <f>IF(A134="","",IFERROR(IF(VLOOKUP(B134,Bibliotheques!$A$10:$B$59,2,FALSE)=0,"Nom manquant",VLOOKUP(B134,Bibliotheques!$A$10:$B$59,2,FALSE)),"Clé inconnue"))</f>
        <v/>
      </c>
      <c r="D134" s="6" t="s">
        <v>29</v>
      </c>
      <c r="E134" s="7" t="str">
        <f t="shared" ref="E134:E197" si="2">IF(A134="","",LOWER(B134&amp;"-"&amp;SUBSTITUTE(SUBSTITUTE(SUBSTITUTE(LOWER(A134),".svg","")," ","-"),"/","-")))</f>
        <v/>
      </c>
      <c r="F134" s="6" t="s">
        <v>29</v>
      </c>
      <c r="G134" s="6" t="s">
        <v>29</v>
      </c>
      <c r="H134" s="8" t="str">
        <f>IF(A134="","",Bibliotheques!$B$5&amp;IF(RIGHT(Bibliotheques!$B$5,1)="/","","/")&amp;SUBSTITUTE(A134," ","%20"))</f>
        <v/>
      </c>
      <c r="I134" s="6" t="s">
        <v>29</v>
      </c>
      <c r="J134" s="6" t="s">
        <v>29</v>
      </c>
    </row>
    <row r="135" spans="1:10" ht="33.950000000000003" customHeight="1">
      <c r="A135" s="6" t="s">
        <v>29</v>
      </c>
      <c r="B135" s="6" t="s">
        <v>29</v>
      </c>
      <c r="C135" s="7" t="str">
        <f>IF(A135="","",IFERROR(IF(VLOOKUP(B135,Bibliotheques!$A$10:$B$59,2,FALSE)=0,"Nom manquant",VLOOKUP(B135,Bibliotheques!$A$10:$B$59,2,FALSE)),"Clé inconnue"))</f>
        <v/>
      </c>
      <c r="D135" s="6" t="s">
        <v>29</v>
      </c>
      <c r="E135" s="7" t="str">
        <f t="shared" si="2"/>
        <v/>
      </c>
      <c r="F135" s="6" t="s">
        <v>29</v>
      </c>
      <c r="G135" s="6" t="s">
        <v>29</v>
      </c>
      <c r="H135" s="8" t="str">
        <f>IF(A135="","",Bibliotheques!$B$5&amp;IF(RIGHT(Bibliotheques!$B$5,1)="/","","/")&amp;SUBSTITUTE(A135," ","%20"))</f>
        <v/>
      </c>
      <c r="I135" s="6" t="s">
        <v>29</v>
      </c>
      <c r="J135" s="6" t="s">
        <v>29</v>
      </c>
    </row>
    <row r="136" spans="1:10" ht="33.950000000000003" customHeight="1">
      <c r="A136" s="6" t="s">
        <v>29</v>
      </c>
      <c r="B136" s="6" t="s">
        <v>29</v>
      </c>
      <c r="C136" s="7" t="str">
        <f>IF(A136="","",IFERROR(IF(VLOOKUP(B136,Bibliotheques!$A$10:$B$59,2,FALSE)=0,"Nom manquant",VLOOKUP(B136,Bibliotheques!$A$10:$B$59,2,FALSE)),"Clé inconnue"))</f>
        <v/>
      </c>
      <c r="D136" s="6" t="s">
        <v>29</v>
      </c>
      <c r="E136" s="7" t="str">
        <f t="shared" si="2"/>
        <v/>
      </c>
      <c r="F136" s="6" t="s">
        <v>29</v>
      </c>
      <c r="G136" s="6" t="s">
        <v>29</v>
      </c>
      <c r="H136" s="8" t="str">
        <f>IF(A136="","",Bibliotheques!$B$5&amp;IF(RIGHT(Bibliotheques!$B$5,1)="/","","/")&amp;SUBSTITUTE(A136," ","%20"))</f>
        <v/>
      </c>
      <c r="I136" s="6" t="s">
        <v>29</v>
      </c>
      <c r="J136" s="6" t="s">
        <v>29</v>
      </c>
    </row>
    <row r="137" spans="1:10" ht="33.950000000000003" customHeight="1">
      <c r="A137" s="6" t="s">
        <v>29</v>
      </c>
      <c r="B137" s="6" t="s">
        <v>29</v>
      </c>
      <c r="C137" s="7" t="str">
        <f>IF(A137="","",IFERROR(IF(VLOOKUP(B137,Bibliotheques!$A$10:$B$59,2,FALSE)=0,"Nom manquant",VLOOKUP(B137,Bibliotheques!$A$10:$B$59,2,FALSE)),"Clé inconnue"))</f>
        <v/>
      </c>
      <c r="D137" s="6" t="s">
        <v>29</v>
      </c>
      <c r="E137" s="7" t="str">
        <f t="shared" si="2"/>
        <v/>
      </c>
      <c r="F137" s="6" t="s">
        <v>29</v>
      </c>
      <c r="G137" s="6" t="s">
        <v>29</v>
      </c>
      <c r="H137" s="8" t="str">
        <f>IF(A137="","",Bibliotheques!$B$5&amp;IF(RIGHT(Bibliotheques!$B$5,1)="/","","/")&amp;SUBSTITUTE(A137," ","%20"))</f>
        <v/>
      </c>
      <c r="I137" s="6" t="s">
        <v>29</v>
      </c>
      <c r="J137" s="6" t="s">
        <v>29</v>
      </c>
    </row>
    <row r="138" spans="1:10" ht="33.950000000000003" customHeight="1">
      <c r="A138" s="6" t="s">
        <v>29</v>
      </c>
      <c r="B138" s="6" t="s">
        <v>29</v>
      </c>
      <c r="C138" s="7" t="str">
        <f>IF(A138="","",IFERROR(IF(VLOOKUP(B138,Bibliotheques!$A$10:$B$59,2,FALSE)=0,"Nom manquant",VLOOKUP(B138,Bibliotheques!$A$10:$B$59,2,FALSE)),"Clé inconnue"))</f>
        <v/>
      </c>
      <c r="D138" s="6" t="s">
        <v>29</v>
      </c>
      <c r="E138" s="7" t="str">
        <f t="shared" si="2"/>
        <v/>
      </c>
      <c r="F138" s="6" t="s">
        <v>29</v>
      </c>
      <c r="G138" s="6" t="s">
        <v>29</v>
      </c>
      <c r="H138" s="8" t="str">
        <f>IF(A138="","",Bibliotheques!$B$5&amp;IF(RIGHT(Bibliotheques!$B$5,1)="/","","/")&amp;SUBSTITUTE(A138," ","%20"))</f>
        <v/>
      </c>
      <c r="I138" s="6" t="s">
        <v>29</v>
      </c>
      <c r="J138" s="6" t="s">
        <v>29</v>
      </c>
    </row>
    <row r="139" spans="1:10" ht="33.950000000000003" customHeight="1">
      <c r="A139" s="6" t="s">
        <v>29</v>
      </c>
      <c r="B139" s="6" t="s">
        <v>29</v>
      </c>
      <c r="C139" s="7" t="str">
        <f>IF(A139="","",IFERROR(IF(VLOOKUP(B139,Bibliotheques!$A$10:$B$59,2,FALSE)=0,"Nom manquant",VLOOKUP(B139,Bibliotheques!$A$10:$B$59,2,FALSE)),"Clé inconnue"))</f>
        <v/>
      </c>
      <c r="D139" s="6" t="s">
        <v>29</v>
      </c>
      <c r="E139" s="7" t="str">
        <f t="shared" si="2"/>
        <v/>
      </c>
      <c r="F139" s="6" t="s">
        <v>29</v>
      </c>
      <c r="G139" s="6" t="s">
        <v>29</v>
      </c>
      <c r="H139" s="8" t="str">
        <f>IF(A139="","",Bibliotheques!$B$5&amp;IF(RIGHT(Bibliotheques!$B$5,1)="/","","/")&amp;SUBSTITUTE(A139," ","%20"))</f>
        <v/>
      </c>
      <c r="I139" s="6" t="s">
        <v>29</v>
      </c>
      <c r="J139" s="6" t="s">
        <v>29</v>
      </c>
    </row>
    <row r="140" spans="1:10" ht="33.950000000000003" customHeight="1">
      <c r="A140" s="6" t="s">
        <v>29</v>
      </c>
      <c r="B140" s="6" t="s">
        <v>29</v>
      </c>
      <c r="C140" s="7" t="str">
        <f>IF(A140="","",IFERROR(IF(VLOOKUP(B140,Bibliotheques!$A$10:$B$59,2,FALSE)=0,"Nom manquant",VLOOKUP(B140,Bibliotheques!$A$10:$B$59,2,FALSE)),"Clé inconnue"))</f>
        <v/>
      </c>
      <c r="D140" s="6" t="s">
        <v>29</v>
      </c>
      <c r="E140" s="7" t="str">
        <f t="shared" si="2"/>
        <v/>
      </c>
      <c r="F140" s="6" t="s">
        <v>29</v>
      </c>
      <c r="G140" s="6" t="s">
        <v>29</v>
      </c>
      <c r="H140" s="8" t="str">
        <f>IF(A140="","",Bibliotheques!$B$5&amp;IF(RIGHT(Bibliotheques!$B$5,1)="/","","/")&amp;SUBSTITUTE(A140," ","%20"))</f>
        <v/>
      </c>
      <c r="I140" s="6" t="s">
        <v>29</v>
      </c>
      <c r="J140" s="6" t="s">
        <v>29</v>
      </c>
    </row>
    <row r="141" spans="1:10" ht="33.950000000000003" customHeight="1">
      <c r="A141" s="6" t="s">
        <v>29</v>
      </c>
      <c r="B141" s="6" t="s">
        <v>29</v>
      </c>
      <c r="C141" s="7" t="str">
        <f>IF(A141="","",IFERROR(IF(VLOOKUP(B141,Bibliotheques!$A$10:$B$59,2,FALSE)=0,"Nom manquant",VLOOKUP(B141,Bibliotheques!$A$10:$B$59,2,FALSE)),"Clé inconnue"))</f>
        <v/>
      </c>
      <c r="D141" s="6" t="s">
        <v>29</v>
      </c>
      <c r="E141" s="7" t="str">
        <f t="shared" si="2"/>
        <v/>
      </c>
      <c r="F141" s="6" t="s">
        <v>29</v>
      </c>
      <c r="G141" s="6" t="s">
        <v>29</v>
      </c>
      <c r="H141" s="8" t="str">
        <f>IF(A141="","",Bibliotheques!$B$5&amp;IF(RIGHT(Bibliotheques!$B$5,1)="/","","/")&amp;SUBSTITUTE(A141," ","%20"))</f>
        <v/>
      </c>
      <c r="I141" s="6" t="s">
        <v>29</v>
      </c>
      <c r="J141" s="6" t="s">
        <v>29</v>
      </c>
    </row>
    <row r="142" spans="1:10" ht="33.950000000000003" customHeight="1">
      <c r="A142" s="6" t="s">
        <v>29</v>
      </c>
      <c r="B142" s="6" t="s">
        <v>29</v>
      </c>
      <c r="C142" s="7" t="str">
        <f>IF(A142="","",IFERROR(IF(VLOOKUP(B142,Bibliotheques!$A$10:$B$59,2,FALSE)=0,"Nom manquant",VLOOKUP(B142,Bibliotheques!$A$10:$B$59,2,FALSE)),"Clé inconnue"))</f>
        <v/>
      </c>
      <c r="D142" s="6" t="s">
        <v>29</v>
      </c>
      <c r="E142" s="7" t="str">
        <f t="shared" si="2"/>
        <v/>
      </c>
      <c r="F142" s="6" t="s">
        <v>29</v>
      </c>
      <c r="G142" s="6" t="s">
        <v>29</v>
      </c>
      <c r="H142" s="8" t="str">
        <f>IF(A142="","",Bibliotheques!$B$5&amp;IF(RIGHT(Bibliotheques!$B$5,1)="/","","/")&amp;SUBSTITUTE(A142," ","%20"))</f>
        <v/>
      </c>
      <c r="I142" s="6" t="s">
        <v>29</v>
      </c>
      <c r="J142" s="6" t="s">
        <v>29</v>
      </c>
    </row>
    <row r="143" spans="1:10" ht="33.950000000000003" customHeight="1">
      <c r="A143" s="6" t="s">
        <v>29</v>
      </c>
      <c r="B143" s="6" t="s">
        <v>29</v>
      </c>
      <c r="C143" s="7" t="str">
        <f>IF(A143="","",IFERROR(IF(VLOOKUP(B143,Bibliotheques!$A$10:$B$59,2,FALSE)=0,"Nom manquant",VLOOKUP(B143,Bibliotheques!$A$10:$B$59,2,FALSE)),"Clé inconnue"))</f>
        <v/>
      </c>
      <c r="D143" s="6" t="s">
        <v>29</v>
      </c>
      <c r="E143" s="7" t="str">
        <f t="shared" si="2"/>
        <v/>
      </c>
      <c r="F143" s="6" t="s">
        <v>29</v>
      </c>
      <c r="G143" s="6" t="s">
        <v>29</v>
      </c>
      <c r="H143" s="8" t="str">
        <f>IF(A143="","",Bibliotheques!$B$5&amp;IF(RIGHT(Bibliotheques!$B$5,1)="/","","/")&amp;SUBSTITUTE(A143," ","%20"))</f>
        <v/>
      </c>
      <c r="I143" s="6" t="s">
        <v>29</v>
      </c>
      <c r="J143" s="6" t="s">
        <v>29</v>
      </c>
    </row>
    <row r="144" spans="1:10" ht="33.950000000000003" customHeight="1">
      <c r="A144" s="6" t="s">
        <v>29</v>
      </c>
      <c r="B144" s="6" t="s">
        <v>29</v>
      </c>
      <c r="C144" s="7" t="str">
        <f>IF(A144="","",IFERROR(IF(VLOOKUP(B144,Bibliotheques!$A$10:$B$59,2,FALSE)=0,"Nom manquant",VLOOKUP(B144,Bibliotheques!$A$10:$B$59,2,FALSE)),"Clé inconnue"))</f>
        <v/>
      </c>
      <c r="D144" s="6" t="s">
        <v>29</v>
      </c>
      <c r="E144" s="7" t="str">
        <f t="shared" si="2"/>
        <v/>
      </c>
      <c r="F144" s="6" t="s">
        <v>29</v>
      </c>
      <c r="G144" s="6" t="s">
        <v>29</v>
      </c>
      <c r="H144" s="8" t="str">
        <f>IF(A144="","",Bibliotheques!$B$5&amp;IF(RIGHT(Bibliotheques!$B$5,1)="/","","/")&amp;SUBSTITUTE(A144," ","%20"))</f>
        <v/>
      </c>
      <c r="I144" s="6" t="s">
        <v>29</v>
      </c>
      <c r="J144" s="6" t="s">
        <v>29</v>
      </c>
    </row>
    <row r="145" spans="1:10" ht="33.950000000000003" customHeight="1">
      <c r="A145" s="6" t="s">
        <v>29</v>
      </c>
      <c r="B145" s="6" t="s">
        <v>29</v>
      </c>
      <c r="C145" s="7" t="str">
        <f>IF(A145="","",IFERROR(IF(VLOOKUP(B145,Bibliotheques!$A$10:$B$59,2,FALSE)=0,"Nom manquant",VLOOKUP(B145,Bibliotheques!$A$10:$B$59,2,FALSE)),"Clé inconnue"))</f>
        <v/>
      </c>
      <c r="D145" s="6" t="s">
        <v>29</v>
      </c>
      <c r="E145" s="7" t="str">
        <f t="shared" si="2"/>
        <v/>
      </c>
      <c r="F145" s="6" t="s">
        <v>29</v>
      </c>
      <c r="G145" s="6" t="s">
        <v>29</v>
      </c>
      <c r="H145" s="8" t="str">
        <f>IF(A145="","",Bibliotheques!$B$5&amp;IF(RIGHT(Bibliotheques!$B$5,1)="/","","/")&amp;SUBSTITUTE(A145," ","%20"))</f>
        <v/>
      </c>
      <c r="I145" s="6" t="s">
        <v>29</v>
      </c>
      <c r="J145" s="6" t="s">
        <v>29</v>
      </c>
    </row>
    <row r="146" spans="1:10" ht="33.950000000000003" customHeight="1">
      <c r="A146" s="6" t="s">
        <v>29</v>
      </c>
      <c r="B146" s="6" t="s">
        <v>29</v>
      </c>
      <c r="C146" s="7" t="str">
        <f>IF(A146="","",IFERROR(IF(VLOOKUP(B146,Bibliotheques!$A$10:$B$59,2,FALSE)=0,"Nom manquant",VLOOKUP(B146,Bibliotheques!$A$10:$B$59,2,FALSE)),"Clé inconnue"))</f>
        <v/>
      </c>
      <c r="D146" s="6" t="s">
        <v>29</v>
      </c>
      <c r="E146" s="7" t="str">
        <f t="shared" si="2"/>
        <v/>
      </c>
      <c r="F146" s="6" t="s">
        <v>29</v>
      </c>
      <c r="G146" s="6" t="s">
        <v>29</v>
      </c>
      <c r="H146" s="8" t="str">
        <f>IF(A146="","",Bibliotheques!$B$5&amp;IF(RIGHT(Bibliotheques!$B$5,1)="/","","/")&amp;SUBSTITUTE(A146," ","%20"))</f>
        <v/>
      </c>
      <c r="I146" s="6" t="s">
        <v>29</v>
      </c>
      <c r="J146" s="6" t="s">
        <v>29</v>
      </c>
    </row>
    <row r="147" spans="1:10" ht="33.950000000000003" customHeight="1">
      <c r="A147" s="6" t="s">
        <v>29</v>
      </c>
      <c r="B147" s="6" t="s">
        <v>29</v>
      </c>
      <c r="C147" s="7" t="str">
        <f>IF(A147="","",IFERROR(IF(VLOOKUP(B147,Bibliotheques!$A$10:$B$59,2,FALSE)=0,"Nom manquant",VLOOKUP(B147,Bibliotheques!$A$10:$B$59,2,FALSE)),"Clé inconnue"))</f>
        <v/>
      </c>
      <c r="D147" s="6" t="s">
        <v>29</v>
      </c>
      <c r="E147" s="7" t="str">
        <f t="shared" si="2"/>
        <v/>
      </c>
      <c r="F147" s="6" t="s">
        <v>29</v>
      </c>
      <c r="G147" s="6" t="s">
        <v>29</v>
      </c>
      <c r="H147" s="8" t="str">
        <f>IF(A147="","",Bibliotheques!$B$5&amp;IF(RIGHT(Bibliotheques!$B$5,1)="/","","/")&amp;SUBSTITUTE(A147," ","%20"))</f>
        <v/>
      </c>
      <c r="I147" s="6" t="s">
        <v>29</v>
      </c>
      <c r="J147" s="6" t="s">
        <v>29</v>
      </c>
    </row>
    <row r="148" spans="1:10" ht="33.950000000000003" customHeight="1">
      <c r="A148" s="6" t="s">
        <v>29</v>
      </c>
      <c r="B148" s="6" t="s">
        <v>29</v>
      </c>
      <c r="C148" s="7" t="str">
        <f>IF(A148="","",IFERROR(IF(VLOOKUP(B148,Bibliotheques!$A$10:$B$59,2,FALSE)=0,"Nom manquant",VLOOKUP(B148,Bibliotheques!$A$10:$B$59,2,FALSE)),"Clé inconnue"))</f>
        <v/>
      </c>
      <c r="D148" s="6" t="s">
        <v>29</v>
      </c>
      <c r="E148" s="7" t="str">
        <f t="shared" si="2"/>
        <v/>
      </c>
      <c r="F148" s="6" t="s">
        <v>29</v>
      </c>
      <c r="G148" s="6" t="s">
        <v>29</v>
      </c>
      <c r="H148" s="8" t="str">
        <f>IF(A148="","",Bibliotheques!$B$5&amp;IF(RIGHT(Bibliotheques!$B$5,1)="/","","/")&amp;SUBSTITUTE(A148," ","%20"))</f>
        <v/>
      </c>
      <c r="I148" s="6" t="s">
        <v>29</v>
      </c>
      <c r="J148" s="6" t="s">
        <v>29</v>
      </c>
    </row>
    <row r="149" spans="1:10" ht="33.950000000000003" customHeight="1">
      <c r="A149" s="6" t="s">
        <v>29</v>
      </c>
      <c r="B149" s="6" t="s">
        <v>29</v>
      </c>
      <c r="C149" s="7" t="str">
        <f>IF(A149="","",IFERROR(IF(VLOOKUP(B149,Bibliotheques!$A$10:$B$59,2,FALSE)=0,"Nom manquant",VLOOKUP(B149,Bibliotheques!$A$10:$B$59,2,FALSE)),"Clé inconnue"))</f>
        <v/>
      </c>
      <c r="D149" s="6" t="s">
        <v>29</v>
      </c>
      <c r="E149" s="7" t="str">
        <f t="shared" si="2"/>
        <v/>
      </c>
      <c r="F149" s="6" t="s">
        <v>29</v>
      </c>
      <c r="G149" s="6" t="s">
        <v>29</v>
      </c>
      <c r="H149" s="8" t="str">
        <f>IF(A149="","",Bibliotheques!$B$5&amp;IF(RIGHT(Bibliotheques!$B$5,1)="/","","/")&amp;SUBSTITUTE(A149," ","%20"))</f>
        <v/>
      </c>
      <c r="I149" s="6" t="s">
        <v>29</v>
      </c>
      <c r="J149" s="6" t="s">
        <v>29</v>
      </c>
    </row>
    <row r="150" spans="1:10" ht="33.950000000000003" customHeight="1">
      <c r="A150" s="6" t="s">
        <v>29</v>
      </c>
      <c r="B150" s="6" t="s">
        <v>29</v>
      </c>
      <c r="C150" s="7" t="str">
        <f>IF(A150="","",IFERROR(IF(VLOOKUP(B150,Bibliotheques!$A$10:$B$59,2,FALSE)=0,"Nom manquant",VLOOKUP(B150,Bibliotheques!$A$10:$B$59,2,FALSE)),"Clé inconnue"))</f>
        <v/>
      </c>
      <c r="D150" s="6" t="s">
        <v>29</v>
      </c>
      <c r="E150" s="7" t="str">
        <f t="shared" si="2"/>
        <v/>
      </c>
      <c r="F150" s="6" t="s">
        <v>29</v>
      </c>
      <c r="G150" s="6" t="s">
        <v>29</v>
      </c>
      <c r="H150" s="8" t="str">
        <f>IF(A150="","",Bibliotheques!$B$5&amp;IF(RIGHT(Bibliotheques!$B$5,1)="/","","/")&amp;SUBSTITUTE(A150," ","%20"))</f>
        <v/>
      </c>
      <c r="I150" s="6" t="s">
        <v>29</v>
      </c>
      <c r="J150" s="6" t="s">
        <v>29</v>
      </c>
    </row>
    <row r="151" spans="1:10" ht="33.950000000000003" customHeight="1">
      <c r="A151" s="6" t="s">
        <v>29</v>
      </c>
      <c r="B151" s="6" t="s">
        <v>29</v>
      </c>
      <c r="C151" s="7" t="str">
        <f>IF(A151="","",IFERROR(IF(VLOOKUP(B151,Bibliotheques!$A$10:$B$59,2,FALSE)=0,"Nom manquant",VLOOKUP(B151,Bibliotheques!$A$10:$B$59,2,FALSE)),"Clé inconnue"))</f>
        <v/>
      </c>
      <c r="D151" s="6" t="s">
        <v>29</v>
      </c>
      <c r="E151" s="7" t="str">
        <f t="shared" si="2"/>
        <v/>
      </c>
      <c r="F151" s="6" t="s">
        <v>29</v>
      </c>
      <c r="G151" s="6" t="s">
        <v>29</v>
      </c>
      <c r="H151" s="8" t="str">
        <f>IF(A151="","",Bibliotheques!$B$5&amp;IF(RIGHT(Bibliotheques!$B$5,1)="/","","/")&amp;SUBSTITUTE(A151," ","%20"))</f>
        <v/>
      </c>
      <c r="I151" s="6" t="s">
        <v>29</v>
      </c>
      <c r="J151" s="6" t="s">
        <v>29</v>
      </c>
    </row>
    <row r="152" spans="1:10" ht="33.950000000000003" customHeight="1">
      <c r="A152" s="6" t="s">
        <v>29</v>
      </c>
      <c r="B152" s="6" t="s">
        <v>29</v>
      </c>
      <c r="C152" s="7" t="str">
        <f>IF(A152="","",IFERROR(IF(VLOOKUP(B152,Bibliotheques!$A$10:$B$59,2,FALSE)=0,"Nom manquant",VLOOKUP(B152,Bibliotheques!$A$10:$B$59,2,FALSE)),"Clé inconnue"))</f>
        <v/>
      </c>
      <c r="D152" s="6" t="s">
        <v>29</v>
      </c>
      <c r="E152" s="7" t="str">
        <f t="shared" si="2"/>
        <v/>
      </c>
      <c r="F152" s="6" t="s">
        <v>29</v>
      </c>
      <c r="G152" s="6" t="s">
        <v>29</v>
      </c>
      <c r="H152" s="8" t="str">
        <f>IF(A152="","",Bibliotheques!$B$5&amp;IF(RIGHT(Bibliotheques!$B$5,1)="/","","/")&amp;SUBSTITUTE(A152," ","%20"))</f>
        <v/>
      </c>
      <c r="I152" s="6" t="s">
        <v>29</v>
      </c>
      <c r="J152" s="6" t="s">
        <v>29</v>
      </c>
    </row>
    <row r="153" spans="1:10" ht="33.950000000000003" customHeight="1">
      <c r="A153" s="6" t="s">
        <v>29</v>
      </c>
      <c r="B153" s="6" t="s">
        <v>29</v>
      </c>
      <c r="C153" s="7" t="str">
        <f>IF(A153="","",IFERROR(IF(VLOOKUP(B153,Bibliotheques!$A$10:$B$59,2,FALSE)=0,"Nom manquant",VLOOKUP(B153,Bibliotheques!$A$10:$B$59,2,FALSE)),"Clé inconnue"))</f>
        <v/>
      </c>
      <c r="D153" s="6" t="s">
        <v>29</v>
      </c>
      <c r="E153" s="7" t="str">
        <f t="shared" si="2"/>
        <v/>
      </c>
      <c r="F153" s="6" t="s">
        <v>29</v>
      </c>
      <c r="G153" s="6" t="s">
        <v>29</v>
      </c>
      <c r="H153" s="8" t="str">
        <f>IF(A153="","",Bibliotheques!$B$5&amp;IF(RIGHT(Bibliotheques!$B$5,1)="/","","/")&amp;SUBSTITUTE(A153," ","%20"))</f>
        <v/>
      </c>
      <c r="I153" s="6" t="s">
        <v>29</v>
      </c>
      <c r="J153" s="6" t="s">
        <v>29</v>
      </c>
    </row>
    <row r="154" spans="1:10" ht="33.950000000000003" customHeight="1">
      <c r="A154" s="6" t="s">
        <v>29</v>
      </c>
      <c r="B154" s="6" t="s">
        <v>29</v>
      </c>
      <c r="C154" s="7" t="str">
        <f>IF(A154="","",IFERROR(IF(VLOOKUP(B154,Bibliotheques!$A$10:$B$59,2,FALSE)=0,"Nom manquant",VLOOKUP(B154,Bibliotheques!$A$10:$B$59,2,FALSE)),"Clé inconnue"))</f>
        <v/>
      </c>
      <c r="D154" s="6" t="s">
        <v>29</v>
      </c>
      <c r="E154" s="7" t="str">
        <f t="shared" si="2"/>
        <v/>
      </c>
      <c r="F154" s="6" t="s">
        <v>29</v>
      </c>
      <c r="G154" s="6" t="s">
        <v>29</v>
      </c>
      <c r="H154" s="8" t="str">
        <f>IF(A154="","",Bibliotheques!$B$5&amp;IF(RIGHT(Bibliotheques!$B$5,1)="/","","/")&amp;SUBSTITUTE(A154," ","%20"))</f>
        <v/>
      </c>
      <c r="I154" s="6" t="s">
        <v>29</v>
      </c>
      <c r="J154" s="6" t="s">
        <v>29</v>
      </c>
    </row>
    <row r="155" spans="1:10" ht="33.950000000000003" customHeight="1">
      <c r="A155" s="6" t="s">
        <v>29</v>
      </c>
      <c r="B155" s="6" t="s">
        <v>29</v>
      </c>
      <c r="C155" s="7" t="str">
        <f>IF(A155="","",IFERROR(IF(VLOOKUP(B155,Bibliotheques!$A$10:$B$59,2,FALSE)=0,"Nom manquant",VLOOKUP(B155,Bibliotheques!$A$10:$B$59,2,FALSE)),"Clé inconnue"))</f>
        <v/>
      </c>
      <c r="D155" s="6" t="s">
        <v>29</v>
      </c>
      <c r="E155" s="7" t="str">
        <f t="shared" si="2"/>
        <v/>
      </c>
      <c r="F155" s="6" t="s">
        <v>29</v>
      </c>
      <c r="G155" s="6" t="s">
        <v>29</v>
      </c>
      <c r="H155" s="8" t="str">
        <f>IF(A155="","",Bibliotheques!$B$5&amp;IF(RIGHT(Bibliotheques!$B$5,1)="/","","/")&amp;SUBSTITUTE(A155," ","%20"))</f>
        <v/>
      </c>
      <c r="I155" s="6" t="s">
        <v>29</v>
      </c>
      <c r="J155" s="6" t="s">
        <v>29</v>
      </c>
    </row>
    <row r="156" spans="1:10" ht="33.950000000000003" customHeight="1">
      <c r="A156" s="6" t="s">
        <v>29</v>
      </c>
      <c r="B156" s="6" t="s">
        <v>29</v>
      </c>
      <c r="C156" s="7" t="str">
        <f>IF(A156="","",IFERROR(IF(VLOOKUP(B156,Bibliotheques!$A$10:$B$59,2,FALSE)=0,"Nom manquant",VLOOKUP(B156,Bibliotheques!$A$10:$B$59,2,FALSE)),"Clé inconnue"))</f>
        <v/>
      </c>
      <c r="D156" s="6" t="s">
        <v>29</v>
      </c>
      <c r="E156" s="7" t="str">
        <f t="shared" si="2"/>
        <v/>
      </c>
      <c r="F156" s="6" t="s">
        <v>29</v>
      </c>
      <c r="G156" s="6" t="s">
        <v>29</v>
      </c>
      <c r="H156" s="8" t="str">
        <f>IF(A156="","",Bibliotheques!$B$5&amp;IF(RIGHT(Bibliotheques!$B$5,1)="/","","/")&amp;SUBSTITUTE(A156," ","%20"))</f>
        <v/>
      </c>
      <c r="I156" s="6" t="s">
        <v>29</v>
      </c>
      <c r="J156" s="6" t="s">
        <v>29</v>
      </c>
    </row>
    <row r="157" spans="1:10" ht="33.950000000000003" customHeight="1">
      <c r="A157" s="6" t="s">
        <v>29</v>
      </c>
      <c r="B157" s="6" t="s">
        <v>29</v>
      </c>
      <c r="C157" s="7" t="str">
        <f>IF(A157="","",IFERROR(IF(VLOOKUP(B157,Bibliotheques!$A$10:$B$59,2,FALSE)=0,"Nom manquant",VLOOKUP(B157,Bibliotheques!$A$10:$B$59,2,FALSE)),"Clé inconnue"))</f>
        <v/>
      </c>
      <c r="D157" s="6" t="s">
        <v>29</v>
      </c>
      <c r="E157" s="7" t="str">
        <f t="shared" si="2"/>
        <v/>
      </c>
      <c r="F157" s="6" t="s">
        <v>29</v>
      </c>
      <c r="G157" s="6" t="s">
        <v>29</v>
      </c>
      <c r="H157" s="8" t="str">
        <f>IF(A157="","",Bibliotheques!$B$5&amp;IF(RIGHT(Bibliotheques!$B$5,1)="/","","/")&amp;SUBSTITUTE(A157," ","%20"))</f>
        <v/>
      </c>
      <c r="I157" s="6" t="s">
        <v>29</v>
      </c>
      <c r="J157" s="6" t="s">
        <v>29</v>
      </c>
    </row>
    <row r="158" spans="1:10" ht="33.950000000000003" customHeight="1">
      <c r="A158" s="6" t="s">
        <v>29</v>
      </c>
      <c r="B158" s="6" t="s">
        <v>29</v>
      </c>
      <c r="C158" s="7" t="str">
        <f>IF(A158="","",IFERROR(IF(VLOOKUP(B158,Bibliotheques!$A$10:$B$59,2,FALSE)=0,"Nom manquant",VLOOKUP(B158,Bibliotheques!$A$10:$B$59,2,FALSE)),"Clé inconnue"))</f>
        <v/>
      </c>
      <c r="D158" s="6" t="s">
        <v>29</v>
      </c>
      <c r="E158" s="7" t="str">
        <f t="shared" si="2"/>
        <v/>
      </c>
      <c r="F158" s="6" t="s">
        <v>29</v>
      </c>
      <c r="G158" s="6" t="s">
        <v>29</v>
      </c>
      <c r="H158" s="8" t="str">
        <f>IF(A158="","",Bibliotheques!$B$5&amp;IF(RIGHT(Bibliotheques!$B$5,1)="/","","/")&amp;SUBSTITUTE(A158," ","%20"))</f>
        <v/>
      </c>
      <c r="I158" s="6" t="s">
        <v>29</v>
      </c>
      <c r="J158" s="6" t="s">
        <v>29</v>
      </c>
    </row>
    <row r="159" spans="1:10" ht="33.950000000000003" customHeight="1">
      <c r="A159" s="6" t="s">
        <v>29</v>
      </c>
      <c r="B159" s="6" t="s">
        <v>29</v>
      </c>
      <c r="C159" s="7" t="str">
        <f>IF(A159="","",IFERROR(IF(VLOOKUP(B159,Bibliotheques!$A$10:$B$59,2,FALSE)=0,"Nom manquant",VLOOKUP(B159,Bibliotheques!$A$10:$B$59,2,FALSE)),"Clé inconnue"))</f>
        <v/>
      </c>
      <c r="D159" s="6" t="s">
        <v>29</v>
      </c>
      <c r="E159" s="7" t="str">
        <f t="shared" si="2"/>
        <v/>
      </c>
      <c r="F159" s="6" t="s">
        <v>29</v>
      </c>
      <c r="G159" s="6" t="s">
        <v>29</v>
      </c>
      <c r="H159" s="8" t="str">
        <f>IF(A159="","",Bibliotheques!$B$5&amp;IF(RIGHT(Bibliotheques!$B$5,1)="/","","/")&amp;SUBSTITUTE(A159," ","%20"))</f>
        <v/>
      </c>
      <c r="I159" s="6" t="s">
        <v>29</v>
      </c>
      <c r="J159" s="6" t="s">
        <v>29</v>
      </c>
    </row>
    <row r="160" spans="1:10" ht="33.950000000000003" customHeight="1">
      <c r="A160" s="6" t="s">
        <v>29</v>
      </c>
      <c r="B160" s="6" t="s">
        <v>29</v>
      </c>
      <c r="C160" s="7" t="str">
        <f>IF(A160="","",IFERROR(IF(VLOOKUP(B160,Bibliotheques!$A$10:$B$59,2,FALSE)=0,"Nom manquant",VLOOKUP(B160,Bibliotheques!$A$10:$B$59,2,FALSE)),"Clé inconnue"))</f>
        <v/>
      </c>
      <c r="D160" s="6" t="s">
        <v>29</v>
      </c>
      <c r="E160" s="7" t="str">
        <f t="shared" si="2"/>
        <v/>
      </c>
      <c r="F160" s="6" t="s">
        <v>29</v>
      </c>
      <c r="G160" s="6" t="s">
        <v>29</v>
      </c>
      <c r="H160" s="8" t="str">
        <f>IF(A160="","",Bibliotheques!$B$5&amp;IF(RIGHT(Bibliotheques!$B$5,1)="/","","/")&amp;SUBSTITUTE(A160," ","%20"))</f>
        <v/>
      </c>
      <c r="I160" s="6" t="s">
        <v>29</v>
      </c>
      <c r="J160" s="6" t="s">
        <v>29</v>
      </c>
    </row>
    <row r="161" spans="1:10" ht="33.950000000000003" customHeight="1">
      <c r="A161" s="6" t="s">
        <v>29</v>
      </c>
      <c r="B161" s="6" t="s">
        <v>29</v>
      </c>
      <c r="C161" s="7" t="str">
        <f>IF(A161="","",IFERROR(IF(VLOOKUP(B161,Bibliotheques!$A$10:$B$59,2,FALSE)=0,"Nom manquant",VLOOKUP(B161,Bibliotheques!$A$10:$B$59,2,FALSE)),"Clé inconnue"))</f>
        <v/>
      </c>
      <c r="D161" s="6" t="s">
        <v>29</v>
      </c>
      <c r="E161" s="7" t="str">
        <f t="shared" si="2"/>
        <v/>
      </c>
      <c r="F161" s="6" t="s">
        <v>29</v>
      </c>
      <c r="G161" s="6" t="s">
        <v>29</v>
      </c>
      <c r="H161" s="8" t="str">
        <f>IF(A161="","",Bibliotheques!$B$5&amp;IF(RIGHT(Bibliotheques!$B$5,1)="/","","/")&amp;SUBSTITUTE(A161," ","%20"))</f>
        <v/>
      </c>
      <c r="I161" s="6" t="s">
        <v>29</v>
      </c>
      <c r="J161" s="6" t="s">
        <v>29</v>
      </c>
    </row>
    <row r="162" spans="1:10" ht="33.950000000000003" customHeight="1">
      <c r="A162" s="6" t="s">
        <v>29</v>
      </c>
      <c r="B162" s="6" t="s">
        <v>29</v>
      </c>
      <c r="C162" s="7" t="str">
        <f>IF(A162="","",IFERROR(IF(VLOOKUP(B162,Bibliotheques!$A$10:$B$59,2,FALSE)=0,"Nom manquant",VLOOKUP(B162,Bibliotheques!$A$10:$B$59,2,FALSE)),"Clé inconnue"))</f>
        <v/>
      </c>
      <c r="D162" s="6" t="s">
        <v>29</v>
      </c>
      <c r="E162" s="7" t="str">
        <f t="shared" si="2"/>
        <v/>
      </c>
      <c r="F162" s="6" t="s">
        <v>29</v>
      </c>
      <c r="G162" s="6" t="s">
        <v>29</v>
      </c>
      <c r="H162" s="8" t="str">
        <f>IF(A162="","",Bibliotheques!$B$5&amp;IF(RIGHT(Bibliotheques!$B$5,1)="/","","/")&amp;SUBSTITUTE(A162," ","%20"))</f>
        <v/>
      </c>
      <c r="I162" s="6" t="s">
        <v>29</v>
      </c>
      <c r="J162" s="6" t="s">
        <v>29</v>
      </c>
    </row>
    <row r="163" spans="1:10" ht="33.950000000000003" customHeight="1">
      <c r="A163" s="6" t="s">
        <v>29</v>
      </c>
      <c r="B163" s="6" t="s">
        <v>29</v>
      </c>
      <c r="C163" s="7" t="str">
        <f>IF(A163="","",IFERROR(IF(VLOOKUP(B163,Bibliotheques!$A$10:$B$59,2,FALSE)=0,"Nom manquant",VLOOKUP(B163,Bibliotheques!$A$10:$B$59,2,FALSE)),"Clé inconnue"))</f>
        <v/>
      </c>
      <c r="D163" s="6" t="s">
        <v>29</v>
      </c>
      <c r="E163" s="7" t="str">
        <f t="shared" si="2"/>
        <v/>
      </c>
      <c r="F163" s="6" t="s">
        <v>29</v>
      </c>
      <c r="G163" s="6" t="s">
        <v>29</v>
      </c>
      <c r="H163" s="8" t="str">
        <f>IF(A163="","",Bibliotheques!$B$5&amp;IF(RIGHT(Bibliotheques!$B$5,1)="/","","/")&amp;SUBSTITUTE(A163," ","%20"))</f>
        <v/>
      </c>
      <c r="I163" s="6" t="s">
        <v>29</v>
      </c>
      <c r="J163" s="6" t="s">
        <v>29</v>
      </c>
    </row>
    <row r="164" spans="1:10" ht="33.950000000000003" customHeight="1">
      <c r="A164" s="6" t="s">
        <v>29</v>
      </c>
      <c r="B164" s="6" t="s">
        <v>29</v>
      </c>
      <c r="C164" s="7" t="str">
        <f>IF(A164="","",IFERROR(IF(VLOOKUP(B164,Bibliotheques!$A$10:$B$59,2,FALSE)=0,"Nom manquant",VLOOKUP(B164,Bibliotheques!$A$10:$B$59,2,FALSE)),"Clé inconnue"))</f>
        <v/>
      </c>
      <c r="D164" s="6" t="s">
        <v>29</v>
      </c>
      <c r="E164" s="7" t="str">
        <f t="shared" si="2"/>
        <v/>
      </c>
      <c r="F164" s="6" t="s">
        <v>29</v>
      </c>
      <c r="G164" s="6" t="s">
        <v>29</v>
      </c>
      <c r="H164" s="8" t="str">
        <f>IF(A164="","",Bibliotheques!$B$5&amp;IF(RIGHT(Bibliotheques!$B$5,1)="/","","/")&amp;SUBSTITUTE(A164," ","%20"))</f>
        <v/>
      </c>
      <c r="I164" s="6" t="s">
        <v>29</v>
      </c>
      <c r="J164" s="6" t="s">
        <v>29</v>
      </c>
    </row>
    <row r="165" spans="1:10" ht="33.950000000000003" customHeight="1">
      <c r="A165" s="6" t="s">
        <v>29</v>
      </c>
      <c r="B165" s="6" t="s">
        <v>29</v>
      </c>
      <c r="C165" s="7" t="str">
        <f>IF(A165="","",IFERROR(IF(VLOOKUP(B165,Bibliotheques!$A$10:$B$59,2,FALSE)=0,"Nom manquant",VLOOKUP(B165,Bibliotheques!$A$10:$B$59,2,FALSE)),"Clé inconnue"))</f>
        <v/>
      </c>
      <c r="D165" s="6" t="s">
        <v>29</v>
      </c>
      <c r="E165" s="7" t="str">
        <f t="shared" si="2"/>
        <v/>
      </c>
      <c r="F165" s="6" t="s">
        <v>29</v>
      </c>
      <c r="G165" s="6" t="s">
        <v>29</v>
      </c>
      <c r="H165" s="8" t="str">
        <f>IF(A165="","",Bibliotheques!$B$5&amp;IF(RIGHT(Bibliotheques!$B$5,1)="/","","/")&amp;SUBSTITUTE(A165," ","%20"))</f>
        <v/>
      </c>
      <c r="I165" s="6" t="s">
        <v>29</v>
      </c>
      <c r="J165" s="6" t="s">
        <v>29</v>
      </c>
    </row>
    <row r="166" spans="1:10" ht="33.950000000000003" customHeight="1">
      <c r="A166" s="6" t="s">
        <v>29</v>
      </c>
      <c r="B166" s="6" t="s">
        <v>29</v>
      </c>
      <c r="C166" s="7" t="str">
        <f>IF(A166="","",IFERROR(IF(VLOOKUP(B166,Bibliotheques!$A$10:$B$59,2,FALSE)=0,"Nom manquant",VLOOKUP(B166,Bibliotheques!$A$10:$B$59,2,FALSE)),"Clé inconnue"))</f>
        <v/>
      </c>
      <c r="D166" s="6" t="s">
        <v>29</v>
      </c>
      <c r="E166" s="7" t="str">
        <f t="shared" si="2"/>
        <v/>
      </c>
      <c r="F166" s="6" t="s">
        <v>29</v>
      </c>
      <c r="G166" s="6" t="s">
        <v>29</v>
      </c>
      <c r="H166" s="8" t="str">
        <f>IF(A166="","",Bibliotheques!$B$5&amp;IF(RIGHT(Bibliotheques!$B$5,1)="/","","/")&amp;SUBSTITUTE(A166," ","%20"))</f>
        <v/>
      </c>
      <c r="I166" s="6" t="s">
        <v>29</v>
      </c>
      <c r="J166" s="6" t="s">
        <v>29</v>
      </c>
    </row>
    <row r="167" spans="1:10" ht="33.950000000000003" customHeight="1">
      <c r="A167" s="6" t="s">
        <v>29</v>
      </c>
      <c r="B167" s="6" t="s">
        <v>29</v>
      </c>
      <c r="C167" s="7" t="str">
        <f>IF(A167="","",IFERROR(IF(VLOOKUP(B167,Bibliotheques!$A$10:$B$59,2,FALSE)=0,"Nom manquant",VLOOKUP(B167,Bibliotheques!$A$10:$B$59,2,FALSE)),"Clé inconnue"))</f>
        <v/>
      </c>
      <c r="D167" s="6" t="s">
        <v>29</v>
      </c>
      <c r="E167" s="7" t="str">
        <f t="shared" si="2"/>
        <v/>
      </c>
      <c r="F167" s="6" t="s">
        <v>29</v>
      </c>
      <c r="G167" s="6" t="s">
        <v>29</v>
      </c>
      <c r="H167" s="8" t="str">
        <f>IF(A167="","",Bibliotheques!$B$5&amp;IF(RIGHT(Bibliotheques!$B$5,1)="/","","/")&amp;SUBSTITUTE(A167," ","%20"))</f>
        <v/>
      </c>
      <c r="I167" s="6" t="s">
        <v>29</v>
      </c>
      <c r="J167" s="6" t="s">
        <v>29</v>
      </c>
    </row>
    <row r="168" spans="1:10" ht="33.950000000000003" customHeight="1">
      <c r="A168" s="6" t="s">
        <v>29</v>
      </c>
      <c r="B168" s="6" t="s">
        <v>29</v>
      </c>
      <c r="C168" s="7" t="str">
        <f>IF(A168="","",IFERROR(IF(VLOOKUP(B168,Bibliotheques!$A$10:$B$59,2,FALSE)=0,"Nom manquant",VLOOKUP(B168,Bibliotheques!$A$10:$B$59,2,FALSE)),"Clé inconnue"))</f>
        <v/>
      </c>
      <c r="D168" s="6" t="s">
        <v>29</v>
      </c>
      <c r="E168" s="7" t="str">
        <f t="shared" si="2"/>
        <v/>
      </c>
      <c r="F168" s="6" t="s">
        <v>29</v>
      </c>
      <c r="G168" s="6" t="s">
        <v>29</v>
      </c>
      <c r="H168" s="8" t="str">
        <f>IF(A168="","",Bibliotheques!$B$5&amp;IF(RIGHT(Bibliotheques!$B$5,1)="/","","/")&amp;SUBSTITUTE(A168," ","%20"))</f>
        <v/>
      </c>
      <c r="I168" s="6" t="s">
        <v>29</v>
      </c>
      <c r="J168" s="6" t="s">
        <v>29</v>
      </c>
    </row>
    <row r="169" spans="1:10" ht="33.950000000000003" customHeight="1">
      <c r="A169" s="6" t="s">
        <v>29</v>
      </c>
      <c r="B169" s="6" t="s">
        <v>29</v>
      </c>
      <c r="C169" s="7" t="str">
        <f>IF(A169="","",IFERROR(IF(VLOOKUP(B169,Bibliotheques!$A$10:$B$59,2,FALSE)=0,"Nom manquant",VLOOKUP(B169,Bibliotheques!$A$10:$B$59,2,FALSE)),"Clé inconnue"))</f>
        <v/>
      </c>
      <c r="D169" s="6" t="s">
        <v>29</v>
      </c>
      <c r="E169" s="7" t="str">
        <f t="shared" si="2"/>
        <v/>
      </c>
      <c r="F169" s="6" t="s">
        <v>29</v>
      </c>
      <c r="G169" s="6" t="s">
        <v>29</v>
      </c>
      <c r="H169" s="8" t="str">
        <f>IF(A169="","",Bibliotheques!$B$5&amp;IF(RIGHT(Bibliotheques!$B$5,1)="/","","/")&amp;SUBSTITUTE(A169," ","%20"))</f>
        <v/>
      </c>
      <c r="I169" s="6" t="s">
        <v>29</v>
      </c>
      <c r="J169" s="6" t="s">
        <v>29</v>
      </c>
    </row>
    <row r="170" spans="1:10" ht="33.950000000000003" customHeight="1">
      <c r="A170" s="6" t="s">
        <v>29</v>
      </c>
      <c r="B170" s="6" t="s">
        <v>29</v>
      </c>
      <c r="C170" s="7" t="str">
        <f>IF(A170="","",IFERROR(IF(VLOOKUP(B170,Bibliotheques!$A$10:$B$59,2,FALSE)=0,"Nom manquant",VLOOKUP(B170,Bibliotheques!$A$10:$B$59,2,FALSE)),"Clé inconnue"))</f>
        <v/>
      </c>
      <c r="D170" s="6" t="s">
        <v>29</v>
      </c>
      <c r="E170" s="7" t="str">
        <f t="shared" si="2"/>
        <v/>
      </c>
      <c r="F170" s="6" t="s">
        <v>29</v>
      </c>
      <c r="G170" s="6" t="s">
        <v>29</v>
      </c>
      <c r="H170" s="8" t="str">
        <f>IF(A170="","",Bibliotheques!$B$5&amp;IF(RIGHT(Bibliotheques!$B$5,1)="/","","/")&amp;SUBSTITUTE(A170," ","%20"))</f>
        <v/>
      </c>
      <c r="I170" s="6" t="s">
        <v>29</v>
      </c>
      <c r="J170" s="6" t="s">
        <v>29</v>
      </c>
    </row>
    <row r="171" spans="1:10" ht="33.950000000000003" customHeight="1">
      <c r="A171" s="6" t="s">
        <v>29</v>
      </c>
      <c r="B171" s="6" t="s">
        <v>29</v>
      </c>
      <c r="C171" s="7" t="str">
        <f>IF(A171="","",IFERROR(IF(VLOOKUP(B171,Bibliotheques!$A$10:$B$59,2,FALSE)=0,"Nom manquant",VLOOKUP(B171,Bibliotheques!$A$10:$B$59,2,FALSE)),"Clé inconnue"))</f>
        <v/>
      </c>
      <c r="D171" s="6" t="s">
        <v>29</v>
      </c>
      <c r="E171" s="7" t="str">
        <f t="shared" si="2"/>
        <v/>
      </c>
      <c r="F171" s="6" t="s">
        <v>29</v>
      </c>
      <c r="G171" s="6" t="s">
        <v>29</v>
      </c>
      <c r="H171" s="8" t="str">
        <f>IF(A171="","",Bibliotheques!$B$5&amp;IF(RIGHT(Bibliotheques!$B$5,1)="/","","/")&amp;SUBSTITUTE(A171," ","%20"))</f>
        <v/>
      </c>
      <c r="I171" s="6" t="s">
        <v>29</v>
      </c>
      <c r="J171" s="6" t="s">
        <v>29</v>
      </c>
    </row>
    <row r="172" spans="1:10" ht="33.950000000000003" customHeight="1">
      <c r="A172" s="6" t="s">
        <v>29</v>
      </c>
      <c r="B172" s="6" t="s">
        <v>29</v>
      </c>
      <c r="C172" s="7" t="str">
        <f>IF(A172="","",IFERROR(IF(VLOOKUP(B172,Bibliotheques!$A$10:$B$59,2,FALSE)=0,"Nom manquant",VLOOKUP(B172,Bibliotheques!$A$10:$B$59,2,FALSE)),"Clé inconnue"))</f>
        <v/>
      </c>
      <c r="D172" s="6" t="s">
        <v>29</v>
      </c>
      <c r="E172" s="7" t="str">
        <f t="shared" si="2"/>
        <v/>
      </c>
      <c r="F172" s="6" t="s">
        <v>29</v>
      </c>
      <c r="G172" s="6" t="s">
        <v>29</v>
      </c>
      <c r="H172" s="8" t="str">
        <f>IF(A172="","",Bibliotheques!$B$5&amp;IF(RIGHT(Bibliotheques!$B$5,1)="/","","/")&amp;SUBSTITUTE(A172," ","%20"))</f>
        <v/>
      </c>
      <c r="I172" s="6" t="s">
        <v>29</v>
      </c>
      <c r="J172" s="6" t="s">
        <v>29</v>
      </c>
    </row>
    <row r="173" spans="1:10" ht="33.950000000000003" customHeight="1">
      <c r="A173" s="6" t="s">
        <v>29</v>
      </c>
      <c r="B173" s="6" t="s">
        <v>29</v>
      </c>
      <c r="C173" s="7" t="str">
        <f>IF(A173="","",IFERROR(IF(VLOOKUP(B173,Bibliotheques!$A$10:$B$59,2,FALSE)=0,"Nom manquant",VLOOKUP(B173,Bibliotheques!$A$10:$B$59,2,FALSE)),"Clé inconnue"))</f>
        <v/>
      </c>
      <c r="D173" s="6" t="s">
        <v>29</v>
      </c>
      <c r="E173" s="7" t="str">
        <f t="shared" si="2"/>
        <v/>
      </c>
      <c r="F173" s="6" t="s">
        <v>29</v>
      </c>
      <c r="G173" s="6" t="s">
        <v>29</v>
      </c>
      <c r="H173" s="8" t="str">
        <f>IF(A173="","",Bibliotheques!$B$5&amp;IF(RIGHT(Bibliotheques!$B$5,1)="/","","/")&amp;SUBSTITUTE(A173," ","%20"))</f>
        <v/>
      </c>
      <c r="I173" s="6" t="s">
        <v>29</v>
      </c>
      <c r="J173" s="6" t="s">
        <v>29</v>
      </c>
    </row>
    <row r="174" spans="1:10" ht="33.950000000000003" customHeight="1">
      <c r="A174" s="6" t="s">
        <v>29</v>
      </c>
      <c r="B174" s="6" t="s">
        <v>29</v>
      </c>
      <c r="C174" s="7" t="str">
        <f>IF(A174="","",IFERROR(IF(VLOOKUP(B174,Bibliotheques!$A$10:$B$59,2,FALSE)=0,"Nom manquant",VLOOKUP(B174,Bibliotheques!$A$10:$B$59,2,FALSE)),"Clé inconnue"))</f>
        <v/>
      </c>
      <c r="D174" s="6" t="s">
        <v>29</v>
      </c>
      <c r="E174" s="7" t="str">
        <f t="shared" si="2"/>
        <v/>
      </c>
      <c r="F174" s="6" t="s">
        <v>29</v>
      </c>
      <c r="G174" s="6" t="s">
        <v>29</v>
      </c>
      <c r="H174" s="8" t="str">
        <f>IF(A174="","",Bibliotheques!$B$5&amp;IF(RIGHT(Bibliotheques!$B$5,1)="/","","/")&amp;SUBSTITUTE(A174," ","%20"))</f>
        <v/>
      </c>
      <c r="I174" s="6" t="s">
        <v>29</v>
      </c>
      <c r="J174" s="6" t="s">
        <v>29</v>
      </c>
    </row>
    <row r="175" spans="1:10" ht="33.950000000000003" customHeight="1">
      <c r="A175" s="6" t="s">
        <v>29</v>
      </c>
      <c r="B175" s="6" t="s">
        <v>29</v>
      </c>
      <c r="C175" s="7" t="str">
        <f>IF(A175="","",IFERROR(IF(VLOOKUP(B175,Bibliotheques!$A$10:$B$59,2,FALSE)=0,"Nom manquant",VLOOKUP(B175,Bibliotheques!$A$10:$B$59,2,FALSE)),"Clé inconnue"))</f>
        <v/>
      </c>
      <c r="D175" s="6" t="s">
        <v>29</v>
      </c>
      <c r="E175" s="7" t="str">
        <f t="shared" si="2"/>
        <v/>
      </c>
      <c r="F175" s="6" t="s">
        <v>29</v>
      </c>
      <c r="G175" s="6" t="s">
        <v>29</v>
      </c>
      <c r="H175" s="8" t="str">
        <f>IF(A175="","",Bibliotheques!$B$5&amp;IF(RIGHT(Bibliotheques!$B$5,1)="/","","/")&amp;SUBSTITUTE(A175," ","%20"))</f>
        <v/>
      </c>
      <c r="I175" s="6" t="s">
        <v>29</v>
      </c>
      <c r="J175" s="6" t="s">
        <v>29</v>
      </c>
    </row>
    <row r="176" spans="1:10" ht="33.950000000000003" customHeight="1">
      <c r="A176" s="6" t="s">
        <v>29</v>
      </c>
      <c r="B176" s="6" t="s">
        <v>29</v>
      </c>
      <c r="C176" s="7" t="str">
        <f>IF(A176="","",IFERROR(IF(VLOOKUP(B176,Bibliotheques!$A$10:$B$59,2,FALSE)=0,"Nom manquant",VLOOKUP(B176,Bibliotheques!$A$10:$B$59,2,FALSE)),"Clé inconnue"))</f>
        <v/>
      </c>
      <c r="D176" s="6" t="s">
        <v>29</v>
      </c>
      <c r="E176" s="7" t="str">
        <f t="shared" si="2"/>
        <v/>
      </c>
      <c r="F176" s="6" t="s">
        <v>29</v>
      </c>
      <c r="G176" s="6" t="s">
        <v>29</v>
      </c>
      <c r="H176" s="8" t="str">
        <f>IF(A176="","",Bibliotheques!$B$5&amp;IF(RIGHT(Bibliotheques!$B$5,1)="/","","/")&amp;SUBSTITUTE(A176," ","%20"))</f>
        <v/>
      </c>
      <c r="I176" s="6" t="s">
        <v>29</v>
      </c>
      <c r="J176" s="6" t="s">
        <v>29</v>
      </c>
    </row>
    <row r="177" spans="1:10" ht="33.950000000000003" customHeight="1">
      <c r="A177" s="6" t="s">
        <v>29</v>
      </c>
      <c r="B177" s="6" t="s">
        <v>29</v>
      </c>
      <c r="C177" s="7" t="str">
        <f>IF(A177="","",IFERROR(IF(VLOOKUP(B177,Bibliotheques!$A$10:$B$59,2,FALSE)=0,"Nom manquant",VLOOKUP(B177,Bibliotheques!$A$10:$B$59,2,FALSE)),"Clé inconnue"))</f>
        <v/>
      </c>
      <c r="D177" s="6" t="s">
        <v>29</v>
      </c>
      <c r="E177" s="7" t="str">
        <f t="shared" si="2"/>
        <v/>
      </c>
      <c r="F177" s="6" t="s">
        <v>29</v>
      </c>
      <c r="G177" s="6" t="s">
        <v>29</v>
      </c>
      <c r="H177" s="8" t="str">
        <f>IF(A177="","",Bibliotheques!$B$5&amp;IF(RIGHT(Bibliotheques!$B$5,1)="/","","/")&amp;SUBSTITUTE(A177," ","%20"))</f>
        <v/>
      </c>
      <c r="I177" s="6" t="s">
        <v>29</v>
      </c>
      <c r="J177" s="6" t="s">
        <v>29</v>
      </c>
    </row>
    <row r="178" spans="1:10" ht="33.950000000000003" customHeight="1">
      <c r="A178" s="6" t="s">
        <v>29</v>
      </c>
      <c r="B178" s="6" t="s">
        <v>29</v>
      </c>
      <c r="C178" s="7" t="str">
        <f>IF(A178="","",IFERROR(IF(VLOOKUP(B178,Bibliotheques!$A$10:$B$59,2,FALSE)=0,"Nom manquant",VLOOKUP(B178,Bibliotheques!$A$10:$B$59,2,FALSE)),"Clé inconnue"))</f>
        <v/>
      </c>
      <c r="D178" s="6" t="s">
        <v>29</v>
      </c>
      <c r="E178" s="7" t="str">
        <f t="shared" si="2"/>
        <v/>
      </c>
      <c r="F178" s="6" t="s">
        <v>29</v>
      </c>
      <c r="G178" s="6" t="s">
        <v>29</v>
      </c>
      <c r="H178" s="8" t="str">
        <f>IF(A178="","",Bibliotheques!$B$5&amp;IF(RIGHT(Bibliotheques!$B$5,1)="/","","/")&amp;SUBSTITUTE(A178," ","%20"))</f>
        <v/>
      </c>
      <c r="I178" s="6" t="s">
        <v>29</v>
      </c>
      <c r="J178" s="6" t="s">
        <v>29</v>
      </c>
    </row>
    <row r="179" spans="1:10" ht="33.950000000000003" customHeight="1">
      <c r="A179" s="6" t="s">
        <v>29</v>
      </c>
      <c r="B179" s="6" t="s">
        <v>29</v>
      </c>
      <c r="C179" s="7" t="str">
        <f>IF(A179="","",IFERROR(IF(VLOOKUP(B179,Bibliotheques!$A$10:$B$59,2,FALSE)=0,"Nom manquant",VLOOKUP(B179,Bibliotheques!$A$10:$B$59,2,FALSE)),"Clé inconnue"))</f>
        <v/>
      </c>
      <c r="D179" s="6" t="s">
        <v>29</v>
      </c>
      <c r="E179" s="7" t="str">
        <f t="shared" si="2"/>
        <v/>
      </c>
      <c r="F179" s="6" t="s">
        <v>29</v>
      </c>
      <c r="G179" s="6" t="s">
        <v>29</v>
      </c>
      <c r="H179" s="8" t="str">
        <f>IF(A179="","",Bibliotheques!$B$5&amp;IF(RIGHT(Bibliotheques!$B$5,1)="/","","/")&amp;SUBSTITUTE(A179," ","%20"))</f>
        <v/>
      </c>
      <c r="I179" s="6" t="s">
        <v>29</v>
      </c>
      <c r="J179" s="6" t="s">
        <v>29</v>
      </c>
    </row>
    <row r="180" spans="1:10" ht="33.950000000000003" customHeight="1">
      <c r="A180" s="6" t="s">
        <v>29</v>
      </c>
      <c r="B180" s="6" t="s">
        <v>29</v>
      </c>
      <c r="C180" s="7" t="str">
        <f>IF(A180="","",IFERROR(IF(VLOOKUP(B180,Bibliotheques!$A$10:$B$59,2,FALSE)=0,"Nom manquant",VLOOKUP(B180,Bibliotheques!$A$10:$B$59,2,FALSE)),"Clé inconnue"))</f>
        <v/>
      </c>
      <c r="D180" s="6" t="s">
        <v>29</v>
      </c>
      <c r="E180" s="7" t="str">
        <f t="shared" si="2"/>
        <v/>
      </c>
      <c r="F180" s="6" t="s">
        <v>29</v>
      </c>
      <c r="G180" s="6" t="s">
        <v>29</v>
      </c>
      <c r="H180" s="8" t="str">
        <f>IF(A180="","",Bibliotheques!$B$5&amp;IF(RIGHT(Bibliotheques!$B$5,1)="/","","/")&amp;SUBSTITUTE(A180," ","%20"))</f>
        <v/>
      </c>
      <c r="I180" s="6" t="s">
        <v>29</v>
      </c>
      <c r="J180" s="6" t="s">
        <v>29</v>
      </c>
    </row>
    <row r="181" spans="1:10" ht="33.950000000000003" customHeight="1">
      <c r="A181" s="6" t="s">
        <v>29</v>
      </c>
      <c r="B181" s="6" t="s">
        <v>29</v>
      </c>
      <c r="C181" s="7" t="str">
        <f>IF(A181="","",IFERROR(IF(VLOOKUP(B181,Bibliotheques!$A$10:$B$59,2,FALSE)=0,"Nom manquant",VLOOKUP(B181,Bibliotheques!$A$10:$B$59,2,FALSE)),"Clé inconnue"))</f>
        <v/>
      </c>
      <c r="D181" s="6" t="s">
        <v>29</v>
      </c>
      <c r="E181" s="7" t="str">
        <f t="shared" si="2"/>
        <v/>
      </c>
      <c r="F181" s="6" t="s">
        <v>29</v>
      </c>
      <c r="G181" s="6" t="s">
        <v>29</v>
      </c>
      <c r="H181" s="8" t="str">
        <f>IF(A181="","",Bibliotheques!$B$5&amp;IF(RIGHT(Bibliotheques!$B$5,1)="/","","/")&amp;SUBSTITUTE(A181," ","%20"))</f>
        <v/>
      </c>
      <c r="I181" s="6" t="s">
        <v>29</v>
      </c>
      <c r="J181" s="6" t="s">
        <v>29</v>
      </c>
    </row>
    <row r="182" spans="1:10" ht="33.950000000000003" customHeight="1">
      <c r="A182" s="6" t="s">
        <v>29</v>
      </c>
      <c r="B182" s="6" t="s">
        <v>29</v>
      </c>
      <c r="C182" s="7" t="str">
        <f>IF(A182="","",IFERROR(IF(VLOOKUP(B182,Bibliotheques!$A$10:$B$59,2,FALSE)=0,"Nom manquant",VLOOKUP(B182,Bibliotheques!$A$10:$B$59,2,FALSE)),"Clé inconnue"))</f>
        <v/>
      </c>
      <c r="D182" s="6" t="s">
        <v>29</v>
      </c>
      <c r="E182" s="7" t="str">
        <f t="shared" si="2"/>
        <v/>
      </c>
      <c r="F182" s="6" t="s">
        <v>29</v>
      </c>
      <c r="G182" s="6" t="s">
        <v>29</v>
      </c>
      <c r="H182" s="8" t="str">
        <f>IF(A182="","",Bibliotheques!$B$5&amp;IF(RIGHT(Bibliotheques!$B$5,1)="/","","/")&amp;SUBSTITUTE(A182," ","%20"))</f>
        <v/>
      </c>
      <c r="I182" s="6" t="s">
        <v>29</v>
      </c>
      <c r="J182" s="6" t="s">
        <v>29</v>
      </c>
    </row>
    <row r="183" spans="1:10" ht="33.950000000000003" customHeight="1">
      <c r="A183" s="6" t="s">
        <v>29</v>
      </c>
      <c r="B183" s="6" t="s">
        <v>29</v>
      </c>
      <c r="C183" s="7" t="str">
        <f>IF(A183="","",IFERROR(IF(VLOOKUP(B183,Bibliotheques!$A$10:$B$59,2,FALSE)=0,"Nom manquant",VLOOKUP(B183,Bibliotheques!$A$10:$B$59,2,FALSE)),"Clé inconnue"))</f>
        <v/>
      </c>
      <c r="D183" s="6" t="s">
        <v>29</v>
      </c>
      <c r="E183" s="7" t="str">
        <f t="shared" si="2"/>
        <v/>
      </c>
      <c r="F183" s="6" t="s">
        <v>29</v>
      </c>
      <c r="G183" s="6" t="s">
        <v>29</v>
      </c>
      <c r="H183" s="8" t="str">
        <f>IF(A183="","",Bibliotheques!$B$5&amp;IF(RIGHT(Bibliotheques!$B$5,1)="/","","/")&amp;SUBSTITUTE(A183," ","%20"))</f>
        <v/>
      </c>
      <c r="I183" s="6" t="s">
        <v>29</v>
      </c>
      <c r="J183" s="6" t="s">
        <v>29</v>
      </c>
    </row>
    <row r="184" spans="1:10" ht="33.950000000000003" customHeight="1">
      <c r="A184" s="6" t="s">
        <v>29</v>
      </c>
      <c r="B184" s="6" t="s">
        <v>29</v>
      </c>
      <c r="C184" s="7" t="str">
        <f>IF(A184="","",IFERROR(IF(VLOOKUP(B184,Bibliotheques!$A$10:$B$59,2,FALSE)=0,"Nom manquant",VLOOKUP(B184,Bibliotheques!$A$10:$B$59,2,FALSE)),"Clé inconnue"))</f>
        <v/>
      </c>
      <c r="D184" s="6" t="s">
        <v>29</v>
      </c>
      <c r="E184" s="7" t="str">
        <f t="shared" si="2"/>
        <v/>
      </c>
      <c r="F184" s="6" t="s">
        <v>29</v>
      </c>
      <c r="G184" s="6" t="s">
        <v>29</v>
      </c>
      <c r="H184" s="8" t="str">
        <f>IF(A184="","",Bibliotheques!$B$5&amp;IF(RIGHT(Bibliotheques!$B$5,1)="/","","/")&amp;SUBSTITUTE(A184," ","%20"))</f>
        <v/>
      </c>
      <c r="I184" s="6" t="s">
        <v>29</v>
      </c>
      <c r="J184" s="6" t="s">
        <v>29</v>
      </c>
    </row>
    <row r="185" spans="1:10" ht="33.950000000000003" customHeight="1">
      <c r="A185" s="6" t="s">
        <v>29</v>
      </c>
      <c r="B185" s="6" t="s">
        <v>29</v>
      </c>
      <c r="C185" s="7" t="str">
        <f>IF(A185="","",IFERROR(IF(VLOOKUP(B185,Bibliotheques!$A$10:$B$59,2,FALSE)=0,"Nom manquant",VLOOKUP(B185,Bibliotheques!$A$10:$B$59,2,FALSE)),"Clé inconnue"))</f>
        <v/>
      </c>
      <c r="D185" s="6" t="s">
        <v>29</v>
      </c>
      <c r="E185" s="7" t="str">
        <f t="shared" si="2"/>
        <v/>
      </c>
      <c r="F185" s="6" t="s">
        <v>29</v>
      </c>
      <c r="G185" s="6" t="s">
        <v>29</v>
      </c>
      <c r="H185" s="8" t="str">
        <f>IF(A185="","",Bibliotheques!$B$5&amp;IF(RIGHT(Bibliotheques!$B$5,1)="/","","/")&amp;SUBSTITUTE(A185," ","%20"))</f>
        <v/>
      </c>
      <c r="I185" s="6" t="s">
        <v>29</v>
      </c>
      <c r="J185" s="6" t="s">
        <v>29</v>
      </c>
    </row>
    <row r="186" spans="1:10" ht="33.950000000000003" customHeight="1">
      <c r="A186" s="6" t="s">
        <v>29</v>
      </c>
      <c r="B186" s="6" t="s">
        <v>29</v>
      </c>
      <c r="C186" s="7" t="str">
        <f>IF(A186="","",IFERROR(IF(VLOOKUP(B186,Bibliotheques!$A$10:$B$59,2,FALSE)=0,"Nom manquant",VLOOKUP(B186,Bibliotheques!$A$10:$B$59,2,FALSE)),"Clé inconnue"))</f>
        <v/>
      </c>
      <c r="D186" s="6" t="s">
        <v>29</v>
      </c>
      <c r="E186" s="7" t="str">
        <f t="shared" si="2"/>
        <v/>
      </c>
      <c r="F186" s="6" t="s">
        <v>29</v>
      </c>
      <c r="G186" s="6" t="s">
        <v>29</v>
      </c>
      <c r="H186" s="8" t="str">
        <f>IF(A186="","",Bibliotheques!$B$5&amp;IF(RIGHT(Bibliotheques!$B$5,1)="/","","/")&amp;SUBSTITUTE(A186," ","%20"))</f>
        <v/>
      </c>
      <c r="I186" s="6" t="s">
        <v>29</v>
      </c>
      <c r="J186" s="6" t="s">
        <v>29</v>
      </c>
    </row>
    <row r="187" spans="1:10" ht="33.950000000000003" customHeight="1">
      <c r="A187" s="6" t="s">
        <v>29</v>
      </c>
      <c r="B187" s="6" t="s">
        <v>29</v>
      </c>
      <c r="C187" s="7" t="str">
        <f>IF(A187="","",IFERROR(IF(VLOOKUP(B187,Bibliotheques!$A$10:$B$59,2,FALSE)=0,"Nom manquant",VLOOKUP(B187,Bibliotheques!$A$10:$B$59,2,FALSE)),"Clé inconnue"))</f>
        <v/>
      </c>
      <c r="D187" s="6" t="s">
        <v>29</v>
      </c>
      <c r="E187" s="7" t="str">
        <f t="shared" si="2"/>
        <v/>
      </c>
      <c r="F187" s="6" t="s">
        <v>29</v>
      </c>
      <c r="G187" s="6" t="s">
        <v>29</v>
      </c>
      <c r="H187" s="8" t="str">
        <f>IF(A187="","",Bibliotheques!$B$5&amp;IF(RIGHT(Bibliotheques!$B$5,1)="/","","/")&amp;SUBSTITUTE(A187," ","%20"))</f>
        <v/>
      </c>
      <c r="I187" s="6" t="s">
        <v>29</v>
      </c>
      <c r="J187" s="6" t="s">
        <v>29</v>
      </c>
    </row>
    <row r="188" spans="1:10" ht="33.950000000000003" customHeight="1">
      <c r="A188" s="6" t="s">
        <v>29</v>
      </c>
      <c r="B188" s="6" t="s">
        <v>29</v>
      </c>
      <c r="C188" s="7" t="str">
        <f>IF(A188="","",IFERROR(IF(VLOOKUP(B188,Bibliotheques!$A$10:$B$59,2,FALSE)=0,"Nom manquant",VLOOKUP(B188,Bibliotheques!$A$10:$B$59,2,FALSE)),"Clé inconnue"))</f>
        <v/>
      </c>
      <c r="D188" s="6" t="s">
        <v>29</v>
      </c>
      <c r="E188" s="7" t="str">
        <f t="shared" si="2"/>
        <v/>
      </c>
      <c r="F188" s="6" t="s">
        <v>29</v>
      </c>
      <c r="G188" s="6" t="s">
        <v>29</v>
      </c>
      <c r="H188" s="8" t="str">
        <f>IF(A188="","",Bibliotheques!$B$5&amp;IF(RIGHT(Bibliotheques!$B$5,1)="/","","/")&amp;SUBSTITUTE(A188," ","%20"))</f>
        <v/>
      </c>
      <c r="I188" s="6" t="s">
        <v>29</v>
      </c>
      <c r="J188" s="6" t="s">
        <v>29</v>
      </c>
    </row>
    <row r="189" spans="1:10" ht="33.950000000000003" customHeight="1">
      <c r="A189" s="6" t="s">
        <v>29</v>
      </c>
      <c r="B189" s="6" t="s">
        <v>29</v>
      </c>
      <c r="C189" s="7" t="str">
        <f>IF(A189="","",IFERROR(IF(VLOOKUP(B189,Bibliotheques!$A$10:$B$59,2,FALSE)=0,"Nom manquant",VLOOKUP(B189,Bibliotheques!$A$10:$B$59,2,FALSE)),"Clé inconnue"))</f>
        <v/>
      </c>
      <c r="D189" s="6" t="s">
        <v>29</v>
      </c>
      <c r="E189" s="7" t="str">
        <f t="shared" si="2"/>
        <v/>
      </c>
      <c r="F189" s="6" t="s">
        <v>29</v>
      </c>
      <c r="G189" s="6" t="s">
        <v>29</v>
      </c>
      <c r="H189" s="8" t="str">
        <f>IF(A189="","",Bibliotheques!$B$5&amp;IF(RIGHT(Bibliotheques!$B$5,1)="/","","/")&amp;SUBSTITUTE(A189," ","%20"))</f>
        <v/>
      </c>
      <c r="I189" s="6" t="s">
        <v>29</v>
      </c>
      <c r="J189" s="6" t="s">
        <v>29</v>
      </c>
    </row>
    <row r="190" spans="1:10" ht="33.950000000000003" customHeight="1">
      <c r="A190" s="6" t="s">
        <v>29</v>
      </c>
      <c r="B190" s="6" t="s">
        <v>29</v>
      </c>
      <c r="C190" s="7" t="str">
        <f>IF(A190="","",IFERROR(IF(VLOOKUP(B190,Bibliotheques!$A$10:$B$59,2,FALSE)=0,"Nom manquant",VLOOKUP(B190,Bibliotheques!$A$10:$B$59,2,FALSE)),"Clé inconnue"))</f>
        <v/>
      </c>
      <c r="D190" s="6" t="s">
        <v>29</v>
      </c>
      <c r="E190" s="7" t="str">
        <f t="shared" si="2"/>
        <v/>
      </c>
      <c r="F190" s="6" t="s">
        <v>29</v>
      </c>
      <c r="G190" s="6" t="s">
        <v>29</v>
      </c>
      <c r="H190" s="8" t="str">
        <f>IF(A190="","",Bibliotheques!$B$5&amp;IF(RIGHT(Bibliotheques!$B$5,1)="/","","/")&amp;SUBSTITUTE(A190," ","%20"))</f>
        <v/>
      </c>
      <c r="I190" s="6" t="s">
        <v>29</v>
      </c>
      <c r="J190" s="6" t="s">
        <v>29</v>
      </c>
    </row>
    <row r="191" spans="1:10" ht="33.950000000000003" customHeight="1">
      <c r="A191" s="6" t="s">
        <v>29</v>
      </c>
      <c r="B191" s="6" t="s">
        <v>29</v>
      </c>
      <c r="C191" s="7" t="str">
        <f>IF(A191="","",IFERROR(IF(VLOOKUP(B191,Bibliotheques!$A$10:$B$59,2,FALSE)=0,"Nom manquant",VLOOKUP(B191,Bibliotheques!$A$10:$B$59,2,FALSE)),"Clé inconnue"))</f>
        <v/>
      </c>
      <c r="D191" s="6" t="s">
        <v>29</v>
      </c>
      <c r="E191" s="7" t="str">
        <f t="shared" si="2"/>
        <v/>
      </c>
      <c r="F191" s="6" t="s">
        <v>29</v>
      </c>
      <c r="G191" s="6" t="s">
        <v>29</v>
      </c>
      <c r="H191" s="8" t="str">
        <f>IF(A191="","",Bibliotheques!$B$5&amp;IF(RIGHT(Bibliotheques!$B$5,1)="/","","/")&amp;SUBSTITUTE(A191," ","%20"))</f>
        <v/>
      </c>
      <c r="I191" s="6" t="s">
        <v>29</v>
      </c>
      <c r="J191" s="6" t="s">
        <v>29</v>
      </c>
    </row>
    <row r="192" spans="1:10" ht="33.950000000000003" customHeight="1">
      <c r="A192" s="6" t="s">
        <v>29</v>
      </c>
      <c r="B192" s="6" t="s">
        <v>29</v>
      </c>
      <c r="C192" s="7" t="str">
        <f>IF(A192="","",IFERROR(IF(VLOOKUP(B192,Bibliotheques!$A$10:$B$59,2,FALSE)=0,"Nom manquant",VLOOKUP(B192,Bibliotheques!$A$10:$B$59,2,FALSE)),"Clé inconnue"))</f>
        <v/>
      </c>
      <c r="D192" s="6" t="s">
        <v>29</v>
      </c>
      <c r="E192" s="7" t="str">
        <f t="shared" si="2"/>
        <v/>
      </c>
      <c r="F192" s="6" t="s">
        <v>29</v>
      </c>
      <c r="G192" s="6" t="s">
        <v>29</v>
      </c>
      <c r="H192" s="8" t="str">
        <f>IF(A192="","",Bibliotheques!$B$5&amp;IF(RIGHT(Bibliotheques!$B$5,1)="/","","/")&amp;SUBSTITUTE(A192," ","%20"))</f>
        <v/>
      </c>
      <c r="I192" s="6" t="s">
        <v>29</v>
      </c>
      <c r="J192" s="6" t="s">
        <v>29</v>
      </c>
    </row>
    <row r="193" spans="1:10" ht="33.950000000000003" customHeight="1">
      <c r="A193" s="6" t="s">
        <v>29</v>
      </c>
      <c r="B193" s="6" t="s">
        <v>29</v>
      </c>
      <c r="C193" s="7" t="str">
        <f>IF(A193="","",IFERROR(IF(VLOOKUP(B193,Bibliotheques!$A$10:$B$59,2,FALSE)=0,"Nom manquant",VLOOKUP(B193,Bibliotheques!$A$10:$B$59,2,FALSE)),"Clé inconnue"))</f>
        <v/>
      </c>
      <c r="D193" s="6" t="s">
        <v>29</v>
      </c>
      <c r="E193" s="7" t="str">
        <f t="shared" si="2"/>
        <v/>
      </c>
      <c r="F193" s="6" t="s">
        <v>29</v>
      </c>
      <c r="G193" s="6" t="s">
        <v>29</v>
      </c>
      <c r="H193" s="8" t="str">
        <f>IF(A193="","",Bibliotheques!$B$5&amp;IF(RIGHT(Bibliotheques!$B$5,1)="/","","/")&amp;SUBSTITUTE(A193," ","%20"))</f>
        <v/>
      </c>
      <c r="I193" s="6" t="s">
        <v>29</v>
      </c>
      <c r="J193" s="6" t="s">
        <v>29</v>
      </c>
    </row>
    <row r="194" spans="1:10" ht="33.950000000000003" customHeight="1">
      <c r="A194" s="6" t="s">
        <v>29</v>
      </c>
      <c r="B194" s="6" t="s">
        <v>29</v>
      </c>
      <c r="C194" s="7" t="str">
        <f>IF(A194="","",IFERROR(IF(VLOOKUP(B194,Bibliotheques!$A$10:$B$59,2,FALSE)=0,"Nom manquant",VLOOKUP(B194,Bibliotheques!$A$10:$B$59,2,FALSE)),"Clé inconnue"))</f>
        <v/>
      </c>
      <c r="D194" s="6" t="s">
        <v>29</v>
      </c>
      <c r="E194" s="7" t="str">
        <f t="shared" si="2"/>
        <v/>
      </c>
      <c r="F194" s="6" t="s">
        <v>29</v>
      </c>
      <c r="G194" s="6" t="s">
        <v>29</v>
      </c>
      <c r="H194" s="8" t="str">
        <f>IF(A194="","",Bibliotheques!$B$5&amp;IF(RIGHT(Bibliotheques!$B$5,1)="/","","/")&amp;SUBSTITUTE(A194," ","%20"))</f>
        <v/>
      </c>
      <c r="I194" s="6" t="s">
        <v>29</v>
      </c>
      <c r="J194" s="6" t="s">
        <v>29</v>
      </c>
    </row>
    <row r="195" spans="1:10" ht="33.950000000000003" customHeight="1">
      <c r="A195" s="6" t="s">
        <v>29</v>
      </c>
      <c r="B195" s="6" t="s">
        <v>29</v>
      </c>
      <c r="C195" s="7" t="str">
        <f>IF(A195="","",IFERROR(IF(VLOOKUP(B195,Bibliotheques!$A$10:$B$59,2,FALSE)=0,"Nom manquant",VLOOKUP(B195,Bibliotheques!$A$10:$B$59,2,FALSE)),"Clé inconnue"))</f>
        <v/>
      </c>
      <c r="D195" s="6" t="s">
        <v>29</v>
      </c>
      <c r="E195" s="7" t="str">
        <f t="shared" si="2"/>
        <v/>
      </c>
      <c r="F195" s="6" t="s">
        <v>29</v>
      </c>
      <c r="G195" s="6" t="s">
        <v>29</v>
      </c>
      <c r="H195" s="8" t="str">
        <f>IF(A195="","",Bibliotheques!$B$5&amp;IF(RIGHT(Bibliotheques!$B$5,1)="/","","/")&amp;SUBSTITUTE(A195," ","%20"))</f>
        <v/>
      </c>
      <c r="I195" s="6" t="s">
        <v>29</v>
      </c>
      <c r="J195" s="6" t="s">
        <v>29</v>
      </c>
    </row>
    <row r="196" spans="1:10" ht="33.950000000000003" customHeight="1">
      <c r="A196" s="6" t="s">
        <v>29</v>
      </c>
      <c r="B196" s="6" t="s">
        <v>29</v>
      </c>
      <c r="C196" s="7" t="str">
        <f>IF(A196="","",IFERROR(IF(VLOOKUP(B196,Bibliotheques!$A$10:$B$59,2,FALSE)=0,"Nom manquant",VLOOKUP(B196,Bibliotheques!$A$10:$B$59,2,FALSE)),"Clé inconnue"))</f>
        <v/>
      </c>
      <c r="D196" s="6" t="s">
        <v>29</v>
      </c>
      <c r="E196" s="7" t="str">
        <f t="shared" si="2"/>
        <v/>
      </c>
      <c r="F196" s="6" t="s">
        <v>29</v>
      </c>
      <c r="G196" s="6" t="s">
        <v>29</v>
      </c>
      <c r="H196" s="8" t="str">
        <f>IF(A196="","",Bibliotheques!$B$5&amp;IF(RIGHT(Bibliotheques!$B$5,1)="/","","/")&amp;SUBSTITUTE(A196," ","%20"))</f>
        <v/>
      </c>
      <c r="I196" s="6" t="s">
        <v>29</v>
      </c>
      <c r="J196" s="6" t="s">
        <v>29</v>
      </c>
    </row>
    <row r="197" spans="1:10" ht="33.950000000000003" customHeight="1">
      <c r="A197" s="6" t="s">
        <v>29</v>
      </c>
      <c r="B197" s="6" t="s">
        <v>29</v>
      </c>
      <c r="C197" s="7" t="str">
        <f>IF(A197="","",IFERROR(IF(VLOOKUP(B197,Bibliotheques!$A$10:$B$59,2,FALSE)=0,"Nom manquant",VLOOKUP(B197,Bibliotheques!$A$10:$B$59,2,FALSE)),"Clé inconnue"))</f>
        <v/>
      </c>
      <c r="D197" s="6" t="s">
        <v>29</v>
      </c>
      <c r="E197" s="7" t="str">
        <f t="shared" si="2"/>
        <v/>
      </c>
      <c r="F197" s="6" t="s">
        <v>29</v>
      </c>
      <c r="G197" s="6" t="s">
        <v>29</v>
      </c>
      <c r="H197" s="8" t="str">
        <f>IF(A197="","",Bibliotheques!$B$5&amp;IF(RIGHT(Bibliotheques!$B$5,1)="/","","/")&amp;SUBSTITUTE(A197," ","%20"))</f>
        <v/>
      </c>
      <c r="I197" s="6" t="s">
        <v>29</v>
      </c>
      <c r="J197" s="6" t="s">
        <v>29</v>
      </c>
    </row>
    <row r="198" spans="1:10" ht="33.950000000000003" customHeight="1">
      <c r="A198" s="6" t="s">
        <v>29</v>
      </c>
      <c r="B198" s="6" t="s">
        <v>29</v>
      </c>
      <c r="C198" s="7" t="str">
        <f>IF(A198="","",IFERROR(IF(VLOOKUP(B198,Bibliotheques!$A$10:$B$59,2,FALSE)=0,"Nom manquant",VLOOKUP(B198,Bibliotheques!$A$10:$B$59,2,FALSE)),"Clé inconnue"))</f>
        <v/>
      </c>
      <c r="D198" s="6" t="s">
        <v>29</v>
      </c>
      <c r="E198" s="7" t="str">
        <f t="shared" ref="E198:E261" si="3">IF(A198="","",LOWER(B198&amp;"-"&amp;SUBSTITUTE(SUBSTITUTE(SUBSTITUTE(LOWER(A198),".svg","")," ","-"),"/","-")))</f>
        <v/>
      </c>
      <c r="F198" s="6" t="s">
        <v>29</v>
      </c>
      <c r="G198" s="6" t="s">
        <v>29</v>
      </c>
      <c r="H198" s="8" t="str">
        <f>IF(A198="","",Bibliotheques!$B$5&amp;IF(RIGHT(Bibliotheques!$B$5,1)="/","","/")&amp;SUBSTITUTE(A198," ","%20"))</f>
        <v/>
      </c>
      <c r="I198" s="6" t="s">
        <v>29</v>
      </c>
      <c r="J198" s="6" t="s">
        <v>29</v>
      </c>
    </row>
    <row r="199" spans="1:10" ht="33.950000000000003" customHeight="1">
      <c r="A199" s="6" t="s">
        <v>29</v>
      </c>
      <c r="B199" s="6" t="s">
        <v>29</v>
      </c>
      <c r="C199" s="7" t="str">
        <f>IF(A199="","",IFERROR(IF(VLOOKUP(B199,Bibliotheques!$A$10:$B$59,2,FALSE)=0,"Nom manquant",VLOOKUP(B199,Bibliotheques!$A$10:$B$59,2,FALSE)),"Clé inconnue"))</f>
        <v/>
      </c>
      <c r="D199" s="6" t="s">
        <v>29</v>
      </c>
      <c r="E199" s="7" t="str">
        <f t="shared" si="3"/>
        <v/>
      </c>
      <c r="F199" s="6" t="s">
        <v>29</v>
      </c>
      <c r="G199" s="6" t="s">
        <v>29</v>
      </c>
      <c r="H199" s="8" t="str">
        <f>IF(A199="","",Bibliotheques!$B$5&amp;IF(RIGHT(Bibliotheques!$B$5,1)="/","","/")&amp;SUBSTITUTE(A199," ","%20"))</f>
        <v/>
      </c>
      <c r="I199" s="6" t="s">
        <v>29</v>
      </c>
      <c r="J199" s="6" t="s">
        <v>29</v>
      </c>
    </row>
    <row r="200" spans="1:10" ht="33.950000000000003" customHeight="1">
      <c r="A200" s="6" t="s">
        <v>29</v>
      </c>
      <c r="B200" s="6" t="s">
        <v>29</v>
      </c>
      <c r="C200" s="7" t="str">
        <f>IF(A200="","",IFERROR(IF(VLOOKUP(B200,Bibliotheques!$A$10:$B$59,2,FALSE)=0,"Nom manquant",VLOOKUP(B200,Bibliotheques!$A$10:$B$59,2,FALSE)),"Clé inconnue"))</f>
        <v/>
      </c>
      <c r="D200" s="6" t="s">
        <v>29</v>
      </c>
      <c r="E200" s="7" t="str">
        <f t="shared" si="3"/>
        <v/>
      </c>
      <c r="F200" s="6" t="s">
        <v>29</v>
      </c>
      <c r="G200" s="6" t="s">
        <v>29</v>
      </c>
      <c r="H200" s="8" t="str">
        <f>IF(A200="","",Bibliotheques!$B$5&amp;IF(RIGHT(Bibliotheques!$B$5,1)="/","","/")&amp;SUBSTITUTE(A200," ","%20"))</f>
        <v/>
      </c>
      <c r="I200" s="6" t="s">
        <v>29</v>
      </c>
      <c r="J200" s="6" t="s">
        <v>29</v>
      </c>
    </row>
    <row r="201" spans="1:10" ht="33.950000000000003" customHeight="1">
      <c r="A201" s="6" t="s">
        <v>29</v>
      </c>
      <c r="B201" s="6" t="s">
        <v>29</v>
      </c>
      <c r="C201" s="7" t="str">
        <f>IF(A201="","",IFERROR(IF(VLOOKUP(B201,Bibliotheques!$A$10:$B$59,2,FALSE)=0,"Nom manquant",VLOOKUP(B201,Bibliotheques!$A$10:$B$59,2,FALSE)),"Clé inconnue"))</f>
        <v/>
      </c>
      <c r="D201" s="6" t="s">
        <v>29</v>
      </c>
      <c r="E201" s="7" t="str">
        <f t="shared" si="3"/>
        <v/>
      </c>
      <c r="F201" s="6" t="s">
        <v>29</v>
      </c>
      <c r="G201" s="6" t="s">
        <v>29</v>
      </c>
      <c r="H201" s="8" t="str">
        <f>IF(A201="","",Bibliotheques!$B$5&amp;IF(RIGHT(Bibliotheques!$B$5,1)="/","","/")&amp;SUBSTITUTE(A201," ","%20"))</f>
        <v/>
      </c>
      <c r="I201" s="6" t="s">
        <v>29</v>
      </c>
      <c r="J201" s="6" t="s">
        <v>29</v>
      </c>
    </row>
    <row r="202" spans="1:10" ht="33.950000000000003" customHeight="1">
      <c r="A202" s="6" t="s">
        <v>29</v>
      </c>
      <c r="B202" s="6" t="s">
        <v>29</v>
      </c>
      <c r="C202" s="7" t="str">
        <f>IF(A202="","",IFERROR(IF(VLOOKUP(B202,Bibliotheques!$A$10:$B$59,2,FALSE)=0,"Nom manquant",VLOOKUP(B202,Bibliotheques!$A$10:$B$59,2,FALSE)),"Clé inconnue"))</f>
        <v/>
      </c>
      <c r="D202" s="6" t="s">
        <v>29</v>
      </c>
      <c r="E202" s="7" t="str">
        <f t="shared" si="3"/>
        <v/>
      </c>
      <c r="F202" s="6" t="s">
        <v>29</v>
      </c>
      <c r="G202" s="6" t="s">
        <v>29</v>
      </c>
      <c r="H202" s="8" t="str">
        <f>IF(A202="","",Bibliotheques!$B$5&amp;IF(RIGHT(Bibliotheques!$B$5,1)="/","","/")&amp;SUBSTITUTE(A202," ","%20"))</f>
        <v/>
      </c>
      <c r="I202" s="6" t="s">
        <v>29</v>
      </c>
      <c r="J202" s="6" t="s">
        <v>29</v>
      </c>
    </row>
    <row r="203" spans="1:10" ht="33.950000000000003" customHeight="1">
      <c r="A203" s="6" t="s">
        <v>29</v>
      </c>
      <c r="B203" s="6" t="s">
        <v>29</v>
      </c>
      <c r="C203" s="7" t="str">
        <f>IF(A203="","",IFERROR(IF(VLOOKUP(B203,Bibliotheques!$A$10:$B$59,2,FALSE)=0,"Nom manquant",VLOOKUP(B203,Bibliotheques!$A$10:$B$59,2,FALSE)),"Clé inconnue"))</f>
        <v/>
      </c>
      <c r="D203" s="6" t="s">
        <v>29</v>
      </c>
      <c r="E203" s="7" t="str">
        <f t="shared" si="3"/>
        <v/>
      </c>
      <c r="F203" s="6" t="s">
        <v>29</v>
      </c>
      <c r="G203" s="6" t="s">
        <v>29</v>
      </c>
      <c r="H203" s="8" t="str">
        <f>IF(A203="","",Bibliotheques!$B$5&amp;IF(RIGHT(Bibliotheques!$B$5,1)="/","","/")&amp;SUBSTITUTE(A203," ","%20"))</f>
        <v/>
      </c>
      <c r="I203" s="6" t="s">
        <v>29</v>
      </c>
      <c r="J203" s="6" t="s">
        <v>29</v>
      </c>
    </row>
    <row r="204" spans="1:10" ht="33.950000000000003" customHeight="1">
      <c r="A204" s="6" t="s">
        <v>29</v>
      </c>
      <c r="B204" s="6" t="s">
        <v>29</v>
      </c>
      <c r="C204" s="7" t="str">
        <f>IF(A204="","",IFERROR(IF(VLOOKUP(B204,Bibliotheques!$A$10:$B$59,2,FALSE)=0,"Nom manquant",VLOOKUP(B204,Bibliotheques!$A$10:$B$59,2,FALSE)),"Clé inconnue"))</f>
        <v/>
      </c>
      <c r="D204" s="6" t="s">
        <v>29</v>
      </c>
      <c r="E204" s="7" t="str">
        <f t="shared" si="3"/>
        <v/>
      </c>
      <c r="F204" s="6" t="s">
        <v>29</v>
      </c>
      <c r="G204" s="6" t="s">
        <v>29</v>
      </c>
      <c r="H204" s="8" t="str">
        <f>IF(A204="","",Bibliotheques!$B$5&amp;IF(RIGHT(Bibliotheques!$B$5,1)="/","","/")&amp;SUBSTITUTE(A204," ","%20"))</f>
        <v/>
      </c>
      <c r="I204" s="6" t="s">
        <v>29</v>
      </c>
      <c r="J204" s="6" t="s">
        <v>29</v>
      </c>
    </row>
    <row r="205" spans="1:10" ht="33.950000000000003" customHeight="1">
      <c r="A205" s="6" t="s">
        <v>29</v>
      </c>
      <c r="B205" s="6" t="s">
        <v>29</v>
      </c>
      <c r="C205" s="7" t="str">
        <f>IF(A205="","",IFERROR(IF(VLOOKUP(B205,Bibliotheques!$A$10:$B$59,2,FALSE)=0,"Nom manquant",VLOOKUP(B205,Bibliotheques!$A$10:$B$59,2,FALSE)),"Clé inconnue"))</f>
        <v/>
      </c>
      <c r="D205" s="6" t="s">
        <v>29</v>
      </c>
      <c r="E205" s="7" t="str">
        <f t="shared" si="3"/>
        <v/>
      </c>
      <c r="F205" s="6" t="s">
        <v>29</v>
      </c>
      <c r="G205" s="6" t="s">
        <v>29</v>
      </c>
      <c r="H205" s="8" t="str">
        <f>IF(A205="","",Bibliotheques!$B$5&amp;IF(RIGHT(Bibliotheques!$B$5,1)="/","","/")&amp;SUBSTITUTE(A205," ","%20"))</f>
        <v/>
      </c>
      <c r="I205" s="6" t="s">
        <v>29</v>
      </c>
      <c r="J205" s="6" t="s">
        <v>29</v>
      </c>
    </row>
    <row r="206" spans="1:10" ht="33.950000000000003" customHeight="1">
      <c r="A206" s="6" t="s">
        <v>29</v>
      </c>
      <c r="B206" s="6" t="s">
        <v>29</v>
      </c>
      <c r="C206" s="7" t="str">
        <f>IF(A206="","",IFERROR(IF(VLOOKUP(B206,Bibliotheques!$A$10:$B$59,2,FALSE)=0,"Nom manquant",VLOOKUP(B206,Bibliotheques!$A$10:$B$59,2,FALSE)),"Clé inconnue"))</f>
        <v/>
      </c>
      <c r="D206" s="6" t="s">
        <v>29</v>
      </c>
      <c r="E206" s="7" t="str">
        <f t="shared" si="3"/>
        <v/>
      </c>
      <c r="F206" s="6" t="s">
        <v>29</v>
      </c>
      <c r="G206" s="6" t="s">
        <v>29</v>
      </c>
      <c r="H206" s="8" t="str">
        <f>IF(A206="","",Bibliotheques!$B$5&amp;IF(RIGHT(Bibliotheques!$B$5,1)="/","","/")&amp;SUBSTITUTE(A206," ","%20"))</f>
        <v/>
      </c>
      <c r="I206" s="6" t="s">
        <v>29</v>
      </c>
      <c r="J206" s="6" t="s">
        <v>29</v>
      </c>
    </row>
    <row r="207" spans="1:10" ht="33.950000000000003" customHeight="1">
      <c r="A207" s="6" t="s">
        <v>29</v>
      </c>
      <c r="B207" s="6" t="s">
        <v>29</v>
      </c>
      <c r="C207" s="7" t="str">
        <f>IF(A207="","",IFERROR(IF(VLOOKUP(B207,Bibliotheques!$A$10:$B$59,2,FALSE)=0,"Nom manquant",VLOOKUP(B207,Bibliotheques!$A$10:$B$59,2,FALSE)),"Clé inconnue"))</f>
        <v/>
      </c>
      <c r="D207" s="6" t="s">
        <v>29</v>
      </c>
      <c r="E207" s="7" t="str">
        <f t="shared" si="3"/>
        <v/>
      </c>
      <c r="F207" s="6" t="s">
        <v>29</v>
      </c>
      <c r="G207" s="6" t="s">
        <v>29</v>
      </c>
      <c r="H207" s="8" t="str">
        <f>IF(A207="","",Bibliotheques!$B$5&amp;IF(RIGHT(Bibliotheques!$B$5,1)="/","","/")&amp;SUBSTITUTE(A207," ","%20"))</f>
        <v/>
      </c>
      <c r="I207" s="6" t="s">
        <v>29</v>
      </c>
      <c r="J207" s="6" t="s">
        <v>29</v>
      </c>
    </row>
    <row r="208" spans="1:10" ht="33.950000000000003" customHeight="1">
      <c r="A208" s="6" t="s">
        <v>29</v>
      </c>
      <c r="B208" s="6" t="s">
        <v>29</v>
      </c>
      <c r="C208" s="7" t="str">
        <f>IF(A208="","",IFERROR(IF(VLOOKUP(B208,Bibliotheques!$A$10:$B$59,2,FALSE)=0,"Nom manquant",VLOOKUP(B208,Bibliotheques!$A$10:$B$59,2,FALSE)),"Clé inconnue"))</f>
        <v/>
      </c>
      <c r="D208" s="6" t="s">
        <v>29</v>
      </c>
      <c r="E208" s="7" t="str">
        <f t="shared" si="3"/>
        <v/>
      </c>
      <c r="F208" s="6" t="s">
        <v>29</v>
      </c>
      <c r="G208" s="6" t="s">
        <v>29</v>
      </c>
      <c r="H208" s="8" t="str">
        <f>IF(A208="","",Bibliotheques!$B$5&amp;IF(RIGHT(Bibliotheques!$B$5,1)="/","","/")&amp;SUBSTITUTE(A208," ","%20"))</f>
        <v/>
      </c>
      <c r="I208" s="6" t="s">
        <v>29</v>
      </c>
      <c r="J208" s="6" t="s">
        <v>29</v>
      </c>
    </row>
    <row r="209" spans="1:10" ht="33.950000000000003" customHeight="1">
      <c r="A209" s="6" t="s">
        <v>29</v>
      </c>
      <c r="B209" s="6" t="s">
        <v>29</v>
      </c>
      <c r="C209" s="7" t="str">
        <f>IF(A209="","",IFERROR(IF(VLOOKUP(B209,Bibliotheques!$A$10:$B$59,2,FALSE)=0,"Nom manquant",VLOOKUP(B209,Bibliotheques!$A$10:$B$59,2,FALSE)),"Clé inconnue"))</f>
        <v/>
      </c>
      <c r="D209" s="6" t="s">
        <v>29</v>
      </c>
      <c r="E209" s="7" t="str">
        <f t="shared" si="3"/>
        <v/>
      </c>
      <c r="F209" s="6" t="s">
        <v>29</v>
      </c>
      <c r="G209" s="6" t="s">
        <v>29</v>
      </c>
      <c r="H209" s="8" t="str">
        <f>IF(A209="","",Bibliotheques!$B$5&amp;IF(RIGHT(Bibliotheques!$B$5,1)="/","","/")&amp;SUBSTITUTE(A209," ","%20"))</f>
        <v/>
      </c>
      <c r="I209" s="6" t="s">
        <v>29</v>
      </c>
      <c r="J209" s="6" t="s">
        <v>29</v>
      </c>
    </row>
    <row r="210" spans="1:10" ht="33.950000000000003" customHeight="1">
      <c r="A210" s="6" t="s">
        <v>29</v>
      </c>
      <c r="B210" s="6" t="s">
        <v>29</v>
      </c>
      <c r="C210" s="7" t="str">
        <f>IF(A210="","",IFERROR(IF(VLOOKUP(B210,Bibliotheques!$A$10:$B$59,2,FALSE)=0,"Nom manquant",VLOOKUP(B210,Bibliotheques!$A$10:$B$59,2,FALSE)),"Clé inconnue"))</f>
        <v/>
      </c>
      <c r="D210" s="6" t="s">
        <v>29</v>
      </c>
      <c r="E210" s="7" t="str">
        <f t="shared" si="3"/>
        <v/>
      </c>
      <c r="F210" s="6" t="s">
        <v>29</v>
      </c>
      <c r="G210" s="6" t="s">
        <v>29</v>
      </c>
      <c r="H210" s="8" t="str">
        <f>IF(A210="","",Bibliotheques!$B$5&amp;IF(RIGHT(Bibliotheques!$B$5,1)="/","","/")&amp;SUBSTITUTE(A210," ","%20"))</f>
        <v/>
      </c>
      <c r="I210" s="6" t="s">
        <v>29</v>
      </c>
      <c r="J210" s="6" t="s">
        <v>29</v>
      </c>
    </row>
    <row r="211" spans="1:10" ht="33.950000000000003" customHeight="1">
      <c r="A211" s="6" t="s">
        <v>29</v>
      </c>
      <c r="B211" s="6" t="s">
        <v>29</v>
      </c>
      <c r="C211" s="7" t="str">
        <f>IF(A211="","",IFERROR(IF(VLOOKUP(B211,Bibliotheques!$A$10:$B$59,2,FALSE)=0,"Nom manquant",VLOOKUP(B211,Bibliotheques!$A$10:$B$59,2,FALSE)),"Clé inconnue"))</f>
        <v/>
      </c>
      <c r="D211" s="6" t="s">
        <v>29</v>
      </c>
      <c r="E211" s="7" t="str">
        <f t="shared" si="3"/>
        <v/>
      </c>
      <c r="F211" s="6" t="s">
        <v>29</v>
      </c>
      <c r="G211" s="6" t="s">
        <v>29</v>
      </c>
      <c r="H211" s="8" t="str">
        <f>IF(A211="","",Bibliotheques!$B$5&amp;IF(RIGHT(Bibliotheques!$B$5,1)="/","","/")&amp;SUBSTITUTE(A211," ","%20"))</f>
        <v/>
      </c>
      <c r="I211" s="6" t="s">
        <v>29</v>
      </c>
      <c r="J211" s="6" t="s">
        <v>29</v>
      </c>
    </row>
    <row r="212" spans="1:10" ht="33.950000000000003" customHeight="1">
      <c r="A212" s="6" t="s">
        <v>29</v>
      </c>
      <c r="B212" s="6" t="s">
        <v>29</v>
      </c>
      <c r="C212" s="7" t="str">
        <f>IF(A212="","",IFERROR(IF(VLOOKUP(B212,Bibliotheques!$A$10:$B$59,2,FALSE)=0,"Nom manquant",VLOOKUP(B212,Bibliotheques!$A$10:$B$59,2,FALSE)),"Clé inconnue"))</f>
        <v/>
      </c>
      <c r="D212" s="6" t="s">
        <v>29</v>
      </c>
      <c r="E212" s="7" t="str">
        <f t="shared" si="3"/>
        <v/>
      </c>
      <c r="F212" s="6" t="s">
        <v>29</v>
      </c>
      <c r="G212" s="6" t="s">
        <v>29</v>
      </c>
      <c r="H212" s="8" t="str">
        <f>IF(A212="","",Bibliotheques!$B$5&amp;IF(RIGHT(Bibliotheques!$B$5,1)="/","","/")&amp;SUBSTITUTE(A212," ","%20"))</f>
        <v/>
      </c>
      <c r="I212" s="6" t="s">
        <v>29</v>
      </c>
      <c r="J212" s="6" t="s">
        <v>29</v>
      </c>
    </row>
    <row r="213" spans="1:10" ht="33.950000000000003" customHeight="1">
      <c r="A213" s="6" t="s">
        <v>29</v>
      </c>
      <c r="B213" s="6" t="s">
        <v>29</v>
      </c>
      <c r="C213" s="7" t="str">
        <f>IF(A213="","",IFERROR(IF(VLOOKUP(B213,Bibliotheques!$A$10:$B$59,2,FALSE)=0,"Nom manquant",VLOOKUP(B213,Bibliotheques!$A$10:$B$59,2,FALSE)),"Clé inconnue"))</f>
        <v/>
      </c>
      <c r="D213" s="6" t="s">
        <v>29</v>
      </c>
      <c r="E213" s="7" t="str">
        <f t="shared" si="3"/>
        <v/>
      </c>
      <c r="F213" s="6" t="s">
        <v>29</v>
      </c>
      <c r="G213" s="6" t="s">
        <v>29</v>
      </c>
      <c r="H213" s="8" t="str">
        <f>IF(A213="","",Bibliotheques!$B$5&amp;IF(RIGHT(Bibliotheques!$B$5,1)="/","","/")&amp;SUBSTITUTE(A213," ","%20"))</f>
        <v/>
      </c>
      <c r="I213" s="6" t="s">
        <v>29</v>
      </c>
      <c r="J213" s="6" t="s">
        <v>29</v>
      </c>
    </row>
    <row r="214" spans="1:10" ht="33.950000000000003" customHeight="1">
      <c r="A214" s="6" t="s">
        <v>29</v>
      </c>
      <c r="B214" s="6" t="s">
        <v>29</v>
      </c>
      <c r="C214" s="7" t="str">
        <f>IF(A214="","",IFERROR(IF(VLOOKUP(B214,Bibliotheques!$A$10:$B$59,2,FALSE)=0,"Nom manquant",VLOOKUP(B214,Bibliotheques!$A$10:$B$59,2,FALSE)),"Clé inconnue"))</f>
        <v/>
      </c>
      <c r="D214" s="6" t="s">
        <v>29</v>
      </c>
      <c r="E214" s="7" t="str">
        <f t="shared" si="3"/>
        <v/>
      </c>
      <c r="F214" s="6" t="s">
        <v>29</v>
      </c>
      <c r="G214" s="6" t="s">
        <v>29</v>
      </c>
      <c r="H214" s="8" t="str">
        <f>IF(A214="","",Bibliotheques!$B$5&amp;IF(RIGHT(Bibliotheques!$B$5,1)="/","","/")&amp;SUBSTITUTE(A214," ","%20"))</f>
        <v/>
      </c>
      <c r="I214" s="6" t="s">
        <v>29</v>
      </c>
      <c r="J214" s="6" t="s">
        <v>29</v>
      </c>
    </row>
    <row r="215" spans="1:10" ht="33.950000000000003" customHeight="1">
      <c r="A215" s="6" t="s">
        <v>29</v>
      </c>
      <c r="B215" s="6" t="s">
        <v>29</v>
      </c>
      <c r="C215" s="7" t="str">
        <f>IF(A215="","",IFERROR(IF(VLOOKUP(B215,Bibliotheques!$A$10:$B$59,2,FALSE)=0,"Nom manquant",VLOOKUP(B215,Bibliotheques!$A$10:$B$59,2,FALSE)),"Clé inconnue"))</f>
        <v/>
      </c>
      <c r="D215" s="6" t="s">
        <v>29</v>
      </c>
      <c r="E215" s="7" t="str">
        <f t="shared" si="3"/>
        <v/>
      </c>
      <c r="F215" s="6" t="s">
        <v>29</v>
      </c>
      <c r="G215" s="6" t="s">
        <v>29</v>
      </c>
      <c r="H215" s="8" t="str">
        <f>IF(A215="","",Bibliotheques!$B$5&amp;IF(RIGHT(Bibliotheques!$B$5,1)="/","","/")&amp;SUBSTITUTE(A215," ","%20"))</f>
        <v/>
      </c>
      <c r="I215" s="6" t="s">
        <v>29</v>
      </c>
      <c r="J215" s="6" t="s">
        <v>29</v>
      </c>
    </row>
    <row r="216" spans="1:10" ht="33.950000000000003" customHeight="1">
      <c r="A216" s="6" t="s">
        <v>29</v>
      </c>
      <c r="B216" s="6" t="s">
        <v>29</v>
      </c>
      <c r="C216" s="7" t="str">
        <f>IF(A216="","",IFERROR(IF(VLOOKUP(B216,Bibliotheques!$A$10:$B$59,2,FALSE)=0,"Nom manquant",VLOOKUP(B216,Bibliotheques!$A$10:$B$59,2,FALSE)),"Clé inconnue"))</f>
        <v/>
      </c>
      <c r="D216" s="6" t="s">
        <v>29</v>
      </c>
      <c r="E216" s="7" t="str">
        <f t="shared" si="3"/>
        <v/>
      </c>
      <c r="F216" s="6" t="s">
        <v>29</v>
      </c>
      <c r="G216" s="6" t="s">
        <v>29</v>
      </c>
      <c r="H216" s="8" t="str">
        <f>IF(A216="","",Bibliotheques!$B$5&amp;IF(RIGHT(Bibliotheques!$B$5,1)="/","","/")&amp;SUBSTITUTE(A216," ","%20"))</f>
        <v/>
      </c>
      <c r="I216" s="6" t="s">
        <v>29</v>
      </c>
      <c r="J216" s="6" t="s">
        <v>29</v>
      </c>
    </row>
    <row r="217" spans="1:10" ht="33.950000000000003" customHeight="1">
      <c r="A217" s="6" t="s">
        <v>29</v>
      </c>
      <c r="B217" s="6" t="s">
        <v>29</v>
      </c>
      <c r="C217" s="7" t="str">
        <f>IF(A217="","",IFERROR(IF(VLOOKUP(B217,Bibliotheques!$A$10:$B$59,2,FALSE)=0,"Nom manquant",VLOOKUP(B217,Bibliotheques!$A$10:$B$59,2,FALSE)),"Clé inconnue"))</f>
        <v/>
      </c>
      <c r="D217" s="6" t="s">
        <v>29</v>
      </c>
      <c r="E217" s="7" t="str">
        <f t="shared" si="3"/>
        <v/>
      </c>
      <c r="F217" s="6" t="s">
        <v>29</v>
      </c>
      <c r="G217" s="6" t="s">
        <v>29</v>
      </c>
      <c r="H217" s="8" t="str">
        <f>IF(A217="","",Bibliotheques!$B$5&amp;IF(RIGHT(Bibliotheques!$B$5,1)="/","","/")&amp;SUBSTITUTE(A217," ","%20"))</f>
        <v/>
      </c>
      <c r="I217" s="6" t="s">
        <v>29</v>
      </c>
      <c r="J217" s="6" t="s">
        <v>29</v>
      </c>
    </row>
    <row r="218" spans="1:10" ht="33.950000000000003" customHeight="1">
      <c r="A218" s="6" t="s">
        <v>29</v>
      </c>
      <c r="B218" s="6" t="s">
        <v>29</v>
      </c>
      <c r="C218" s="7" t="str">
        <f>IF(A218="","",IFERROR(IF(VLOOKUP(B218,Bibliotheques!$A$10:$B$59,2,FALSE)=0,"Nom manquant",VLOOKUP(B218,Bibliotheques!$A$10:$B$59,2,FALSE)),"Clé inconnue"))</f>
        <v/>
      </c>
      <c r="D218" s="6" t="s">
        <v>29</v>
      </c>
      <c r="E218" s="7" t="str">
        <f t="shared" si="3"/>
        <v/>
      </c>
      <c r="F218" s="6" t="s">
        <v>29</v>
      </c>
      <c r="G218" s="6" t="s">
        <v>29</v>
      </c>
      <c r="H218" s="8" t="str">
        <f>IF(A218="","",Bibliotheques!$B$5&amp;IF(RIGHT(Bibliotheques!$B$5,1)="/","","/")&amp;SUBSTITUTE(A218," ","%20"))</f>
        <v/>
      </c>
      <c r="I218" s="6" t="s">
        <v>29</v>
      </c>
      <c r="J218" s="6" t="s">
        <v>29</v>
      </c>
    </row>
    <row r="219" spans="1:10" ht="33.950000000000003" customHeight="1">
      <c r="A219" s="6" t="s">
        <v>29</v>
      </c>
      <c r="B219" s="6" t="s">
        <v>29</v>
      </c>
      <c r="C219" s="7" t="str">
        <f>IF(A219="","",IFERROR(IF(VLOOKUP(B219,Bibliotheques!$A$10:$B$59,2,FALSE)=0,"Nom manquant",VLOOKUP(B219,Bibliotheques!$A$10:$B$59,2,FALSE)),"Clé inconnue"))</f>
        <v/>
      </c>
      <c r="D219" s="6" t="s">
        <v>29</v>
      </c>
      <c r="E219" s="7" t="str">
        <f t="shared" si="3"/>
        <v/>
      </c>
      <c r="F219" s="6" t="s">
        <v>29</v>
      </c>
      <c r="G219" s="6" t="s">
        <v>29</v>
      </c>
      <c r="H219" s="8" t="str">
        <f>IF(A219="","",Bibliotheques!$B$5&amp;IF(RIGHT(Bibliotheques!$B$5,1)="/","","/")&amp;SUBSTITUTE(A219," ","%20"))</f>
        <v/>
      </c>
      <c r="I219" s="6" t="s">
        <v>29</v>
      </c>
      <c r="J219" s="6" t="s">
        <v>29</v>
      </c>
    </row>
    <row r="220" spans="1:10" ht="33.950000000000003" customHeight="1">
      <c r="A220" s="6" t="s">
        <v>29</v>
      </c>
      <c r="B220" s="6" t="s">
        <v>29</v>
      </c>
      <c r="C220" s="7" t="str">
        <f>IF(A220="","",IFERROR(IF(VLOOKUP(B220,Bibliotheques!$A$10:$B$59,2,FALSE)=0,"Nom manquant",VLOOKUP(B220,Bibliotheques!$A$10:$B$59,2,FALSE)),"Clé inconnue"))</f>
        <v/>
      </c>
      <c r="D220" s="6" t="s">
        <v>29</v>
      </c>
      <c r="E220" s="7" t="str">
        <f t="shared" si="3"/>
        <v/>
      </c>
      <c r="F220" s="6" t="s">
        <v>29</v>
      </c>
      <c r="G220" s="6" t="s">
        <v>29</v>
      </c>
      <c r="H220" s="8" t="str">
        <f>IF(A220="","",Bibliotheques!$B$5&amp;IF(RIGHT(Bibliotheques!$B$5,1)="/","","/")&amp;SUBSTITUTE(A220," ","%20"))</f>
        <v/>
      </c>
      <c r="I220" s="6" t="s">
        <v>29</v>
      </c>
      <c r="J220" s="6" t="s">
        <v>29</v>
      </c>
    </row>
    <row r="221" spans="1:10" ht="33.950000000000003" customHeight="1">
      <c r="A221" s="6" t="s">
        <v>29</v>
      </c>
      <c r="B221" s="6" t="s">
        <v>29</v>
      </c>
      <c r="C221" s="7" t="str">
        <f>IF(A221="","",IFERROR(IF(VLOOKUP(B221,Bibliotheques!$A$10:$B$59,2,FALSE)=0,"Nom manquant",VLOOKUP(B221,Bibliotheques!$A$10:$B$59,2,FALSE)),"Clé inconnue"))</f>
        <v/>
      </c>
      <c r="D221" s="6" t="s">
        <v>29</v>
      </c>
      <c r="E221" s="7" t="str">
        <f t="shared" si="3"/>
        <v/>
      </c>
      <c r="F221" s="6" t="s">
        <v>29</v>
      </c>
      <c r="G221" s="6" t="s">
        <v>29</v>
      </c>
      <c r="H221" s="8" t="str">
        <f>IF(A221="","",Bibliotheques!$B$5&amp;IF(RIGHT(Bibliotheques!$B$5,1)="/","","/")&amp;SUBSTITUTE(A221," ","%20"))</f>
        <v/>
      </c>
      <c r="I221" s="6" t="s">
        <v>29</v>
      </c>
      <c r="J221" s="6" t="s">
        <v>29</v>
      </c>
    </row>
    <row r="222" spans="1:10" ht="33.950000000000003" customHeight="1">
      <c r="A222" s="6" t="s">
        <v>29</v>
      </c>
      <c r="B222" s="6" t="s">
        <v>29</v>
      </c>
      <c r="C222" s="7" t="str">
        <f>IF(A222="","",IFERROR(IF(VLOOKUP(B222,Bibliotheques!$A$10:$B$59,2,FALSE)=0,"Nom manquant",VLOOKUP(B222,Bibliotheques!$A$10:$B$59,2,FALSE)),"Clé inconnue"))</f>
        <v/>
      </c>
      <c r="D222" s="6" t="s">
        <v>29</v>
      </c>
      <c r="E222" s="7" t="str">
        <f t="shared" si="3"/>
        <v/>
      </c>
      <c r="F222" s="6" t="s">
        <v>29</v>
      </c>
      <c r="G222" s="6" t="s">
        <v>29</v>
      </c>
      <c r="H222" s="8" t="str">
        <f>IF(A222="","",Bibliotheques!$B$5&amp;IF(RIGHT(Bibliotheques!$B$5,1)="/","","/")&amp;SUBSTITUTE(A222," ","%20"))</f>
        <v/>
      </c>
      <c r="I222" s="6" t="s">
        <v>29</v>
      </c>
      <c r="J222" s="6" t="s">
        <v>29</v>
      </c>
    </row>
    <row r="223" spans="1:10" ht="33.950000000000003" customHeight="1">
      <c r="A223" s="6" t="s">
        <v>29</v>
      </c>
      <c r="B223" s="6" t="s">
        <v>29</v>
      </c>
      <c r="C223" s="7" t="str">
        <f>IF(A223="","",IFERROR(IF(VLOOKUP(B223,Bibliotheques!$A$10:$B$59,2,FALSE)=0,"Nom manquant",VLOOKUP(B223,Bibliotheques!$A$10:$B$59,2,FALSE)),"Clé inconnue"))</f>
        <v/>
      </c>
      <c r="D223" s="6" t="s">
        <v>29</v>
      </c>
      <c r="E223" s="7" t="str">
        <f t="shared" si="3"/>
        <v/>
      </c>
      <c r="F223" s="6" t="s">
        <v>29</v>
      </c>
      <c r="G223" s="6" t="s">
        <v>29</v>
      </c>
      <c r="H223" s="8" t="str">
        <f>IF(A223="","",Bibliotheques!$B$5&amp;IF(RIGHT(Bibliotheques!$B$5,1)="/","","/")&amp;SUBSTITUTE(A223," ","%20"))</f>
        <v/>
      </c>
      <c r="I223" s="6" t="s">
        <v>29</v>
      </c>
      <c r="J223" s="6" t="s">
        <v>29</v>
      </c>
    </row>
    <row r="224" spans="1:10" ht="33.950000000000003" customHeight="1">
      <c r="A224" s="6" t="s">
        <v>29</v>
      </c>
      <c r="B224" s="6" t="s">
        <v>29</v>
      </c>
      <c r="C224" s="7" t="str">
        <f>IF(A224="","",IFERROR(IF(VLOOKUP(B224,Bibliotheques!$A$10:$B$59,2,FALSE)=0,"Nom manquant",VLOOKUP(B224,Bibliotheques!$A$10:$B$59,2,FALSE)),"Clé inconnue"))</f>
        <v/>
      </c>
      <c r="D224" s="6" t="s">
        <v>29</v>
      </c>
      <c r="E224" s="7" t="str">
        <f t="shared" si="3"/>
        <v/>
      </c>
      <c r="F224" s="6" t="s">
        <v>29</v>
      </c>
      <c r="G224" s="6" t="s">
        <v>29</v>
      </c>
      <c r="H224" s="8" t="str">
        <f>IF(A224="","",Bibliotheques!$B$5&amp;IF(RIGHT(Bibliotheques!$B$5,1)="/","","/")&amp;SUBSTITUTE(A224," ","%20"))</f>
        <v/>
      </c>
      <c r="I224" s="6" t="s">
        <v>29</v>
      </c>
      <c r="J224" s="6" t="s">
        <v>29</v>
      </c>
    </row>
    <row r="225" spans="1:10" ht="33.950000000000003" customHeight="1">
      <c r="A225" s="6" t="s">
        <v>29</v>
      </c>
      <c r="B225" s="6" t="s">
        <v>29</v>
      </c>
      <c r="C225" s="7" t="str">
        <f>IF(A225="","",IFERROR(IF(VLOOKUP(B225,Bibliotheques!$A$10:$B$59,2,FALSE)=0,"Nom manquant",VLOOKUP(B225,Bibliotheques!$A$10:$B$59,2,FALSE)),"Clé inconnue"))</f>
        <v/>
      </c>
      <c r="D225" s="6" t="s">
        <v>29</v>
      </c>
      <c r="E225" s="7" t="str">
        <f t="shared" si="3"/>
        <v/>
      </c>
      <c r="F225" s="6" t="s">
        <v>29</v>
      </c>
      <c r="G225" s="6" t="s">
        <v>29</v>
      </c>
      <c r="H225" s="8" t="str">
        <f>IF(A225="","",Bibliotheques!$B$5&amp;IF(RIGHT(Bibliotheques!$B$5,1)="/","","/")&amp;SUBSTITUTE(A225," ","%20"))</f>
        <v/>
      </c>
      <c r="I225" s="6" t="s">
        <v>29</v>
      </c>
      <c r="J225" s="6" t="s">
        <v>29</v>
      </c>
    </row>
    <row r="226" spans="1:10" ht="33.950000000000003" customHeight="1">
      <c r="A226" s="6" t="s">
        <v>29</v>
      </c>
      <c r="B226" s="6" t="s">
        <v>29</v>
      </c>
      <c r="C226" s="7" t="str">
        <f>IF(A226="","",IFERROR(IF(VLOOKUP(B226,Bibliotheques!$A$10:$B$59,2,FALSE)=0,"Nom manquant",VLOOKUP(B226,Bibliotheques!$A$10:$B$59,2,FALSE)),"Clé inconnue"))</f>
        <v/>
      </c>
      <c r="D226" s="6" t="s">
        <v>29</v>
      </c>
      <c r="E226" s="7" t="str">
        <f t="shared" si="3"/>
        <v/>
      </c>
      <c r="F226" s="6" t="s">
        <v>29</v>
      </c>
      <c r="G226" s="6" t="s">
        <v>29</v>
      </c>
      <c r="H226" s="8" t="str">
        <f>IF(A226="","",Bibliotheques!$B$5&amp;IF(RIGHT(Bibliotheques!$B$5,1)="/","","/")&amp;SUBSTITUTE(A226," ","%20"))</f>
        <v/>
      </c>
      <c r="I226" s="6" t="s">
        <v>29</v>
      </c>
      <c r="J226" s="6" t="s">
        <v>29</v>
      </c>
    </row>
    <row r="227" spans="1:10" ht="33.950000000000003" customHeight="1">
      <c r="A227" s="6" t="s">
        <v>29</v>
      </c>
      <c r="B227" s="6" t="s">
        <v>29</v>
      </c>
      <c r="C227" s="7" t="str">
        <f>IF(A227="","",IFERROR(IF(VLOOKUP(B227,Bibliotheques!$A$10:$B$59,2,FALSE)=0,"Nom manquant",VLOOKUP(B227,Bibliotheques!$A$10:$B$59,2,FALSE)),"Clé inconnue"))</f>
        <v/>
      </c>
      <c r="D227" s="6" t="s">
        <v>29</v>
      </c>
      <c r="E227" s="7" t="str">
        <f t="shared" si="3"/>
        <v/>
      </c>
      <c r="F227" s="6" t="s">
        <v>29</v>
      </c>
      <c r="G227" s="6" t="s">
        <v>29</v>
      </c>
      <c r="H227" s="8" t="str">
        <f>IF(A227="","",Bibliotheques!$B$5&amp;IF(RIGHT(Bibliotheques!$B$5,1)="/","","/")&amp;SUBSTITUTE(A227," ","%20"))</f>
        <v/>
      </c>
      <c r="I227" s="6" t="s">
        <v>29</v>
      </c>
      <c r="J227" s="6" t="s">
        <v>29</v>
      </c>
    </row>
    <row r="228" spans="1:10" ht="33.950000000000003" customHeight="1">
      <c r="A228" s="6" t="s">
        <v>29</v>
      </c>
      <c r="B228" s="6" t="s">
        <v>29</v>
      </c>
      <c r="C228" s="7" t="str">
        <f>IF(A228="","",IFERROR(IF(VLOOKUP(B228,Bibliotheques!$A$10:$B$59,2,FALSE)=0,"Nom manquant",VLOOKUP(B228,Bibliotheques!$A$10:$B$59,2,FALSE)),"Clé inconnue"))</f>
        <v/>
      </c>
      <c r="D228" s="6" t="s">
        <v>29</v>
      </c>
      <c r="E228" s="7" t="str">
        <f t="shared" si="3"/>
        <v/>
      </c>
      <c r="F228" s="6" t="s">
        <v>29</v>
      </c>
      <c r="G228" s="6" t="s">
        <v>29</v>
      </c>
      <c r="H228" s="8" t="str">
        <f>IF(A228="","",Bibliotheques!$B$5&amp;IF(RIGHT(Bibliotheques!$B$5,1)="/","","/")&amp;SUBSTITUTE(A228," ","%20"))</f>
        <v/>
      </c>
      <c r="I228" s="6" t="s">
        <v>29</v>
      </c>
      <c r="J228" s="6" t="s">
        <v>29</v>
      </c>
    </row>
    <row r="229" spans="1:10" ht="33.950000000000003" customHeight="1">
      <c r="A229" s="6" t="s">
        <v>29</v>
      </c>
      <c r="B229" s="6" t="s">
        <v>29</v>
      </c>
      <c r="C229" s="7" t="str">
        <f>IF(A229="","",IFERROR(IF(VLOOKUP(B229,Bibliotheques!$A$10:$B$59,2,FALSE)=0,"Nom manquant",VLOOKUP(B229,Bibliotheques!$A$10:$B$59,2,FALSE)),"Clé inconnue"))</f>
        <v/>
      </c>
      <c r="D229" s="6" t="s">
        <v>29</v>
      </c>
      <c r="E229" s="7" t="str">
        <f t="shared" si="3"/>
        <v/>
      </c>
      <c r="F229" s="6" t="s">
        <v>29</v>
      </c>
      <c r="G229" s="6" t="s">
        <v>29</v>
      </c>
      <c r="H229" s="8" t="str">
        <f>IF(A229="","",Bibliotheques!$B$5&amp;IF(RIGHT(Bibliotheques!$B$5,1)="/","","/")&amp;SUBSTITUTE(A229," ","%20"))</f>
        <v/>
      </c>
      <c r="I229" s="6" t="s">
        <v>29</v>
      </c>
      <c r="J229" s="6" t="s">
        <v>29</v>
      </c>
    </row>
    <row r="230" spans="1:10" ht="33.950000000000003" customHeight="1">
      <c r="A230" s="6" t="s">
        <v>29</v>
      </c>
      <c r="B230" s="6" t="s">
        <v>29</v>
      </c>
      <c r="C230" s="7" t="str">
        <f>IF(A230="","",IFERROR(IF(VLOOKUP(B230,Bibliotheques!$A$10:$B$59,2,FALSE)=0,"Nom manquant",VLOOKUP(B230,Bibliotheques!$A$10:$B$59,2,FALSE)),"Clé inconnue"))</f>
        <v/>
      </c>
      <c r="D230" s="6" t="s">
        <v>29</v>
      </c>
      <c r="E230" s="7" t="str">
        <f t="shared" si="3"/>
        <v/>
      </c>
      <c r="F230" s="6" t="s">
        <v>29</v>
      </c>
      <c r="G230" s="6" t="s">
        <v>29</v>
      </c>
      <c r="H230" s="8" t="str">
        <f>IF(A230="","",Bibliotheques!$B$5&amp;IF(RIGHT(Bibliotheques!$B$5,1)="/","","/")&amp;SUBSTITUTE(A230," ","%20"))</f>
        <v/>
      </c>
      <c r="I230" s="6" t="s">
        <v>29</v>
      </c>
      <c r="J230" s="6" t="s">
        <v>29</v>
      </c>
    </row>
    <row r="231" spans="1:10" ht="33.950000000000003" customHeight="1">
      <c r="A231" s="6" t="s">
        <v>29</v>
      </c>
      <c r="B231" s="6" t="s">
        <v>29</v>
      </c>
      <c r="C231" s="7" t="str">
        <f>IF(A231="","",IFERROR(IF(VLOOKUP(B231,Bibliotheques!$A$10:$B$59,2,FALSE)=0,"Nom manquant",VLOOKUP(B231,Bibliotheques!$A$10:$B$59,2,FALSE)),"Clé inconnue"))</f>
        <v/>
      </c>
      <c r="D231" s="6" t="s">
        <v>29</v>
      </c>
      <c r="E231" s="7" t="str">
        <f t="shared" si="3"/>
        <v/>
      </c>
      <c r="F231" s="6" t="s">
        <v>29</v>
      </c>
      <c r="G231" s="6" t="s">
        <v>29</v>
      </c>
      <c r="H231" s="8" t="str">
        <f>IF(A231="","",Bibliotheques!$B$5&amp;IF(RIGHT(Bibliotheques!$B$5,1)="/","","/")&amp;SUBSTITUTE(A231," ","%20"))</f>
        <v/>
      </c>
      <c r="I231" s="6" t="s">
        <v>29</v>
      </c>
      <c r="J231" s="6" t="s">
        <v>29</v>
      </c>
    </row>
    <row r="232" spans="1:10" ht="33.950000000000003" customHeight="1">
      <c r="A232" s="6" t="s">
        <v>29</v>
      </c>
      <c r="B232" s="6" t="s">
        <v>29</v>
      </c>
      <c r="C232" s="7" t="str">
        <f>IF(A232="","",IFERROR(IF(VLOOKUP(B232,Bibliotheques!$A$10:$B$59,2,FALSE)=0,"Nom manquant",VLOOKUP(B232,Bibliotheques!$A$10:$B$59,2,FALSE)),"Clé inconnue"))</f>
        <v/>
      </c>
      <c r="D232" s="6" t="s">
        <v>29</v>
      </c>
      <c r="E232" s="7" t="str">
        <f t="shared" si="3"/>
        <v/>
      </c>
      <c r="F232" s="6" t="s">
        <v>29</v>
      </c>
      <c r="G232" s="6" t="s">
        <v>29</v>
      </c>
      <c r="H232" s="8" t="str">
        <f>IF(A232="","",Bibliotheques!$B$5&amp;IF(RIGHT(Bibliotheques!$B$5,1)="/","","/")&amp;SUBSTITUTE(A232," ","%20"))</f>
        <v/>
      </c>
      <c r="I232" s="6" t="s">
        <v>29</v>
      </c>
      <c r="J232" s="6" t="s">
        <v>29</v>
      </c>
    </row>
    <row r="233" spans="1:10" ht="33.950000000000003" customHeight="1">
      <c r="A233" s="6" t="s">
        <v>29</v>
      </c>
      <c r="B233" s="6" t="s">
        <v>29</v>
      </c>
      <c r="C233" s="7" t="str">
        <f>IF(A233="","",IFERROR(IF(VLOOKUP(B233,Bibliotheques!$A$10:$B$59,2,FALSE)=0,"Nom manquant",VLOOKUP(B233,Bibliotheques!$A$10:$B$59,2,FALSE)),"Clé inconnue"))</f>
        <v/>
      </c>
      <c r="D233" s="6" t="s">
        <v>29</v>
      </c>
      <c r="E233" s="7" t="str">
        <f t="shared" si="3"/>
        <v/>
      </c>
      <c r="F233" s="6" t="s">
        <v>29</v>
      </c>
      <c r="G233" s="6" t="s">
        <v>29</v>
      </c>
      <c r="H233" s="8" t="str">
        <f>IF(A233="","",Bibliotheques!$B$5&amp;IF(RIGHT(Bibliotheques!$B$5,1)="/","","/")&amp;SUBSTITUTE(A233," ","%20"))</f>
        <v/>
      </c>
      <c r="I233" s="6" t="s">
        <v>29</v>
      </c>
      <c r="J233" s="6" t="s">
        <v>29</v>
      </c>
    </row>
    <row r="234" spans="1:10" ht="33.950000000000003" customHeight="1">
      <c r="A234" s="6" t="s">
        <v>29</v>
      </c>
      <c r="B234" s="6" t="s">
        <v>29</v>
      </c>
      <c r="C234" s="7" t="str">
        <f>IF(A234="","",IFERROR(IF(VLOOKUP(B234,Bibliotheques!$A$10:$B$59,2,FALSE)=0,"Nom manquant",VLOOKUP(B234,Bibliotheques!$A$10:$B$59,2,FALSE)),"Clé inconnue"))</f>
        <v/>
      </c>
      <c r="D234" s="6" t="s">
        <v>29</v>
      </c>
      <c r="E234" s="7" t="str">
        <f t="shared" si="3"/>
        <v/>
      </c>
      <c r="F234" s="6" t="s">
        <v>29</v>
      </c>
      <c r="G234" s="6" t="s">
        <v>29</v>
      </c>
      <c r="H234" s="8" t="str">
        <f>IF(A234="","",Bibliotheques!$B$5&amp;IF(RIGHT(Bibliotheques!$B$5,1)="/","","/")&amp;SUBSTITUTE(A234," ","%20"))</f>
        <v/>
      </c>
      <c r="I234" s="6" t="s">
        <v>29</v>
      </c>
      <c r="J234" s="6" t="s">
        <v>29</v>
      </c>
    </row>
    <row r="235" spans="1:10" ht="33.950000000000003" customHeight="1">
      <c r="A235" s="6" t="s">
        <v>29</v>
      </c>
      <c r="B235" s="6" t="s">
        <v>29</v>
      </c>
      <c r="C235" s="7" t="str">
        <f>IF(A235="","",IFERROR(IF(VLOOKUP(B235,Bibliotheques!$A$10:$B$59,2,FALSE)=0,"Nom manquant",VLOOKUP(B235,Bibliotheques!$A$10:$B$59,2,FALSE)),"Clé inconnue"))</f>
        <v/>
      </c>
      <c r="D235" s="6" t="s">
        <v>29</v>
      </c>
      <c r="E235" s="7" t="str">
        <f t="shared" si="3"/>
        <v/>
      </c>
      <c r="F235" s="6" t="s">
        <v>29</v>
      </c>
      <c r="G235" s="6" t="s">
        <v>29</v>
      </c>
      <c r="H235" s="8" t="str">
        <f>IF(A235="","",Bibliotheques!$B$5&amp;IF(RIGHT(Bibliotheques!$B$5,1)="/","","/")&amp;SUBSTITUTE(A235," ","%20"))</f>
        <v/>
      </c>
      <c r="I235" s="6" t="s">
        <v>29</v>
      </c>
      <c r="J235" s="6" t="s">
        <v>29</v>
      </c>
    </row>
    <row r="236" spans="1:10" ht="33.950000000000003" customHeight="1">
      <c r="A236" s="6" t="s">
        <v>29</v>
      </c>
      <c r="B236" s="6" t="s">
        <v>29</v>
      </c>
      <c r="C236" s="7" t="str">
        <f>IF(A236="","",IFERROR(IF(VLOOKUP(B236,Bibliotheques!$A$10:$B$59,2,FALSE)=0,"Nom manquant",VLOOKUP(B236,Bibliotheques!$A$10:$B$59,2,FALSE)),"Clé inconnue"))</f>
        <v/>
      </c>
      <c r="D236" s="6" t="s">
        <v>29</v>
      </c>
      <c r="E236" s="7" t="str">
        <f t="shared" si="3"/>
        <v/>
      </c>
      <c r="F236" s="6" t="s">
        <v>29</v>
      </c>
      <c r="G236" s="6" t="s">
        <v>29</v>
      </c>
      <c r="H236" s="8" t="str">
        <f>IF(A236="","",Bibliotheques!$B$5&amp;IF(RIGHT(Bibliotheques!$B$5,1)="/","","/")&amp;SUBSTITUTE(A236," ","%20"))</f>
        <v/>
      </c>
      <c r="I236" s="6" t="s">
        <v>29</v>
      </c>
      <c r="J236" s="6" t="s">
        <v>29</v>
      </c>
    </row>
    <row r="237" spans="1:10" ht="33.950000000000003" customHeight="1">
      <c r="A237" s="6" t="s">
        <v>29</v>
      </c>
      <c r="B237" s="6" t="s">
        <v>29</v>
      </c>
      <c r="C237" s="7" t="str">
        <f>IF(A237="","",IFERROR(IF(VLOOKUP(B237,Bibliotheques!$A$10:$B$59,2,FALSE)=0,"Nom manquant",VLOOKUP(B237,Bibliotheques!$A$10:$B$59,2,FALSE)),"Clé inconnue"))</f>
        <v/>
      </c>
      <c r="D237" s="6" t="s">
        <v>29</v>
      </c>
      <c r="E237" s="7" t="str">
        <f t="shared" si="3"/>
        <v/>
      </c>
      <c r="F237" s="6" t="s">
        <v>29</v>
      </c>
      <c r="G237" s="6" t="s">
        <v>29</v>
      </c>
      <c r="H237" s="8" t="str">
        <f>IF(A237="","",Bibliotheques!$B$5&amp;IF(RIGHT(Bibliotheques!$B$5,1)="/","","/")&amp;SUBSTITUTE(A237," ","%20"))</f>
        <v/>
      </c>
      <c r="I237" s="6" t="s">
        <v>29</v>
      </c>
      <c r="J237" s="6" t="s">
        <v>29</v>
      </c>
    </row>
    <row r="238" spans="1:10" ht="33.950000000000003" customHeight="1">
      <c r="A238" s="6" t="s">
        <v>29</v>
      </c>
      <c r="B238" s="6" t="s">
        <v>29</v>
      </c>
      <c r="C238" s="7" t="str">
        <f>IF(A238="","",IFERROR(IF(VLOOKUP(B238,Bibliotheques!$A$10:$B$59,2,FALSE)=0,"Nom manquant",VLOOKUP(B238,Bibliotheques!$A$10:$B$59,2,FALSE)),"Clé inconnue"))</f>
        <v/>
      </c>
      <c r="D238" s="6" t="s">
        <v>29</v>
      </c>
      <c r="E238" s="7" t="str">
        <f t="shared" si="3"/>
        <v/>
      </c>
      <c r="F238" s="6" t="s">
        <v>29</v>
      </c>
      <c r="G238" s="6" t="s">
        <v>29</v>
      </c>
      <c r="H238" s="8" t="str">
        <f>IF(A238="","",Bibliotheques!$B$5&amp;IF(RIGHT(Bibliotheques!$B$5,1)="/","","/")&amp;SUBSTITUTE(A238," ","%20"))</f>
        <v/>
      </c>
      <c r="I238" s="6" t="s">
        <v>29</v>
      </c>
      <c r="J238" s="6" t="s">
        <v>29</v>
      </c>
    </row>
    <row r="239" spans="1:10" ht="33.950000000000003" customHeight="1">
      <c r="A239" s="6" t="s">
        <v>29</v>
      </c>
      <c r="B239" s="6" t="s">
        <v>29</v>
      </c>
      <c r="C239" s="7" t="str">
        <f>IF(A239="","",IFERROR(IF(VLOOKUP(B239,Bibliotheques!$A$10:$B$59,2,FALSE)=0,"Nom manquant",VLOOKUP(B239,Bibliotheques!$A$10:$B$59,2,FALSE)),"Clé inconnue"))</f>
        <v/>
      </c>
      <c r="D239" s="6" t="s">
        <v>29</v>
      </c>
      <c r="E239" s="7" t="str">
        <f t="shared" si="3"/>
        <v/>
      </c>
      <c r="F239" s="6" t="s">
        <v>29</v>
      </c>
      <c r="G239" s="6" t="s">
        <v>29</v>
      </c>
      <c r="H239" s="8" t="str">
        <f>IF(A239="","",Bibliotheques!$B$5&amp;IF(RIGHT(Bibliotheques!$B$5,1)="/","","/")&amp;SUBSTITUTE(A239," ","%20"))</f>
        <v/>
      </c>
      <c r="I239" s="6" t="s">
        <v>29</v>
      </c>
      <c r="J239" s="6" t="s">
        <v>29</v>
      </c>
    </row>
    <row r="240" spans="1:10" ht="33.950000000000003" customHeight="1">
      <c r="A240" s="6" t="s">
        <v>29</v>
      </c>
      <c r="B240" s="6" t="s">
        <v>29</v>
      </c>
      <c r="C240" s="7" t="str">
        <f>IF(A240="","",IFERROR(IF(VLOOKUP(B240,Bibliotheques!$A$10:$B$59,2,FALSE)=0,"Nom manquant",VLOOKUP(B240,Bibliotheques!$A$10:$B$59,2,FALSE)),"Clé inconnue"))</f>
        <v/>
      </c>
      <c r="D240" s="6" t="s">
        <v>29</v>
      </c>
      <c r="E240" s="7" t="str">
        <f t="shared" si="3"/>
        <v/>
      </c>
      <c r="F240" s="6" t="s">
        <v>29</v>
      </c>
      <c r="G240" s="6" t="s">
        <v>29</v>
      </c>
      <c r="H240" s="8" t="str">
        <f>IF(A240="","",Bibliotheques!$B$5&amp;IF(RIGHT(Bibliotheques!$B$5,1)="/","","/")&amp;SUBSTITUTE(A240," ","%20"))</f>
        <v/>
      </c>
      <c r="I240" s="6" t="s">
        <v>29</v>
      </c>
      <c r="J240" s="6" t="s">
        <v>29</v>
      </c>
    </row>
    <row r="241" spans="1:10" ht="33.950000000000003" customHeight="1">
      <c r="A241" s="6" t="s">
        <v>29</v>
      </c>
      <c r="B241" s="6" t="s">
        <v>29</v>
      </c>
      <c r="C241" s="7" t="str">
        <f>IF(A241="","",IFERROR(IF(VLOOKUP(B241,Bibliotheques!$A$10:$B$59,2,FALSE)=0,"Nom manquant",VLOOKUP(B241,Bibliotheques!$A$10:$B$59,2,FALSE)),"Clé inconnue"))</f>
        <v/>
      </c>
      <c r="D241" s="6" t="s">
        <v>29</v>
      </c>
      <c r="E241" s="7" t="str">
        <f t="shared" si="3"/>
        <v/>
      </c>
      <c r="F241" s="6" t="s">
        <v>29</v>
      </c>
      <c r="G241" s="6" t="s">
        <v>29</v>
      </c>
      <c r="H241" s="8" t="str">
        <f>IF(A241="","",Bibliotheques!$B$5&amp;IF(RIGHT(Bibliotheques!$B$5,1)="/","","/")&amp;SUBSTITUTE(A241," ","%20"))</f>
        <v/>
      </c>
      <c r="I241" s="6" t="s">
        <v>29</v>
      </c>
      <c r="J241" s="6" t="s">
        <v>29</v>
      </c>
    </row>
    <row r="242" spans="1:10" ht="33.950000000000003" customHeight="1">
      <c r="A242" s="6" t="s">
        <v>29</v>
      </c>
      <c r="B242" s="6" t="s">
        <v>29</v>
      </c>
      <c r="C242" s="7" t="str">
        <f>IF(A242="","",IFERROR(IF(VLOOKUP(B242,Bibliotheques!$A$10:$B$59,2,FALSE)=0,"Nom manquant",VLOOKUP(B242,Bibliotheques!$A$10:$B$59,2,FALSE)),"Clé inconnue"))</f>
        <v/>
      </c>
      <c r="D242" s="6" t="s">
        <v>29</v>
      </c>
      <c r="E242" s="7" t="str">
        <f t="shared" si="3"/>
        <v/>
      </c>
      <c r="F242" s="6" t="s">
        <v>29</v>
      </c>
      <c r="G242" s="6" t="s">
        <v>29</v>
      </c>
      <c r="H242" s="8" t="str">
        <f>IF(A242="","",Bibliotheques!$B$5&amp;IF(RIGHT(Bibliotheques!$B$5,1)="/","","/")&amp;SUBSTITUTE(A242," ","%20"))</f>
        <v/>
      </c>
      <c r="I242" s="6" t="s">
        <v>29</v>
      </c>
      <c r="J242" s="6" t="s">
        <v>29</v>
      </c>
    </row>
    <row r="243" spans="1:10" ht="33.950000000000003" customHeight="1">
      <c r="A243" s="6" t="s">
        <v>29</v>
      </c>
      <c r="B243" s="6" t="s">
        <v>29</v>
      </c>
      <c r="C243" s="7" t="str">
        <f>IF(A243="","",IFERROR(IF(VLOOKUP(B243,Bibliotheques!$A$10:$B$59,2,FALSE)=0,"Nom manquant",VLOOKUP(B243,Bibliotheques!$A$10:$B$59,2,FALSE)),"Clé inconnue"))</f>
        <v/>
      </c>
      <c r="D243" s="6" t="s">
        <v>29</v>
      </c>
      <c r="E243" s="7" t="str">
        <f t="shared" si="3"/>
        <v/>
      </c>
      <c r="F243" s="6" t="s">
        <v>29</v>
      </c>
      <c r="G243" s="6" t="s">
        <v>29</v>
      </c>
      <c r="H243" s="8" t="str">
        <f>IF(A243="","",Bibliotheques!$B$5&amp;IF(RIGHT(Bibliotheques!$B$5,1)="/","","/")&amp;SUBSTITUTE(A243," ","%20"))</f>
        <v/>
      </c>
      <c r="I243" s="6" t="s">
        <v>29</v>
      </c>
      <c r="J243" s="6" t="s">
        <v>29</v>
      </c>
    </row>
    <row r="244" spans="1:10" ht="33.950000000000003" customHeight="1">
      <c r="A244" s="6" t="s">
        <v>29</v>
      </c>
      <c r="B244" s="6" t="s">
        <v>29</v>
      </c>
      <c r="C244" s="7" t="str">
        <f>IF(A244="","",IFERROR(IF(VLOOKUP(B244,Bibliotheques!$A$10:$B$59,2,FALSE)=0,"Nom manquant",VLOOKUP(B244,Bibliotheques!$A$10:$B$59,2,FALSE)),"Clé inconnue"))</f>
        <v/>
      </c>
      <c r="D244" s="6" t="s">
        <v>29</v>
      </c>
      <c r="E244" s="7" t="str">
        <f t="shared" si="3"/>
        <v/>
      </c>
      <c r="F244" s="6" t="s">
        <v>29</v>
      </c>
      <c r="G244" s="6" t="s">
        <v>29</v>
      </c>
      <c r="H244" s="8" t="str">
        <f>IF(A244="","",Bibliotheques!$B$5&amp;IF(RIGHT(Bibliotheques!$B$5,1)="/","","/")&amp;SUBSTITUTE(A244," ","%20"))</f>
        <v/>
      </c>
      <c r="I244" s="6" t="s">
        <v>29</v>
      </c>
      <c r="J244" s="6" t="s">
        <v>29</v>
      </c>
    </row>
    <row r="245" spans="1:10" ht="33.950000000000003" customHeight="1">
      <c r="A245" s="6" t="s">
        <v>29</v>
      </c>
      <c r="B245" s="6" t="s">
        <v>29</v>
      </c>
      <c r="C245" s="7" t="str">
        <f>IF(A245="","",IFERROR(IF(VLOOKUP(B245,Bibliotheques!$A$10:$B$59,2,FALSE)=0,"Nom manquant",VLOOKUP(B245,Bibliotheques!$A$10:$B$59,2,FALSE)),"Clé inconnue"))</f>
        <v/>
      </c>
      <c r="D245" s="6" t="s">
        <v>29</v>
      </c>
      <c r="E245" s="7" t="str">
        <f t="shared" si="3"/>
        <v/>
      </c>
      <c r="F245" s="6" t="s">
        <v>29</v>
      </c>
      <c r="G245" s="6" t="s">
        <v>29</v>
      </c>
      <c r="H245" s="8" t="str">
        <f>IF(A245="","",Bibliotheques!$B$5&amp;IF(RIGHT(Bibliotheques!$B$5,1)="/","","/")&amp;SUBSTITUTE(A245," ","%20"))</f>
        <v/>
      </c>
      <c r="I245" s="6" t="s">
        <v>29</v>
      </c>
      <c r="J245" s="6" t="s">
        <v>29</v>
      </c>
    </row>
    <row r="246" spans="1:10" ht="33.950000000000003" customHeight="1">
      <c r="A246" s="6" t="s">
        <v>29</v>
      </c>
      <c r="B246" s="6" t="s">
        <v>29</v>
      </c>
      <c r="C246" s="7" t="str">
        <f>IF(A246="","",IFERROR(IF(VLOOKUP(B246,Bibliotheques!$A$10:$B$59,2,FALSE)=0,"Nom manquant",VLOOKUP(B246,Bibliotheques!$A$10:$B$59,2,FALSE)),"Clé inconnue"))</f>
        <v/>
      </c>
      <c r="D246" s="6" t="s">
        <v>29</v>
      </c>
      <c r="E246" s="7" t="str">
        <f t="shared" si="3"/>
        <v/>
      </c>
      <c r="F246" s="6" t="s">
        <v>29</v>
      </c>
      <c r="G246" s="6" t="s">
        <v>29</v>
      </c>
      <c r="H246" s="8" t="str">
        <f>IF(A246="","",Bibliotheques!$B$5&amp;IF(RIGHT(Bibliotheques!$B$5,1)="/","","/")&amp;SUBSTITUTE(A246," ","%20"))</f>
        <v/>
      </c>
      <c r="I246" s="6" t="s">
        <v>29</v>
      </c>
      <c r="J246" s="6" t="s">
        <v>29</v>
      </c>
    </row>
    <row r="247" spans="1:10" ht="33.950000000000003" customHeight="1">
      <c r="A247" s="6" t="s">
        <v>29</v>
      </c>
      <c r="B247" s="6" t="s">
        <v>29</v>
      </c>
      <c r="C247" s="7" t="str">
        <f>IF(A247="","",IFERROR(IF(VLOOKUP(B247,Bibliotheques!$A$10:$B$59,2,FALSE)=0,"Nom manquant",VLOOKUP(B247,Bibliotheques!$A$10:$B$59,2,FALSE)),"Clé inconnue"))</f>
        <v/>
      </c>
      <c r="D247" s="6" t="s">
        <v>29</v>
      </c>
      <c r="E247" s="7" t="str">
        <f t="shared" si="3"/>
        <v/>
      </c>
      <c r="F247" s="6" t="s">
        <v>29</v>
      </c>
      <c r="G247" s="6" t="s">
        <v>29</v>
      </c>
      <c r="H247" s="8" t="str">
        <f>IF(A247="","",Bibliotheques!$B$5&amp;IF(RIGHT(Bibliotheques!$B$5,1)="/","","/")&amp;SUBSTITUTE(A247," ","%20"))</f>
        <v/>
      </c>
      <c r="I247" s="6" t="s">
        <v>29</v>
      </c>
      <c r="J247" s="6" t="s">
        <v>29</v>
      </c>
    </row>
    <row r="248" spans="1:10" ht="33.950000000000003" customHeight="1">
      <c r="A248" s="6" t="s">
        <v>29</v>
      </c>
      <c r="B248" s="6" t="s">
        <v>29</v>
      </c>
      <c r="C248" s="7" t="str">
        <f>IF(A248="","",IFERROR(IF(VLOOKUP(B248,Bibliotheques!$A$10:$B$59,2,FALSE)=0,"Nom manquant",VLOOKUP(B248,Bibliotheques!$A$10:$B$59,2,FALSE)),"Clé inconnue"))</f>
        <v/>
      </c>
      <c r="D248" s="6" t="s">
        <v>29</v>
      </c>
      <c r="E248" s="7" t="str">
        <f t="shared" si="3"/>
        <v/>
      </c>
      <c r="F248" s="6" t="s">
        <v>29</v>
      </c>
      <c r="G248" s="6" t="s">
        <v>29</v>
      </c>
      <c r="H248" s="8" t="str">
        <f>IF(A248="","",Bibliotheques!$B$5&amp;IF(RIGHT(Bibliotheques!$B$5,1)="/","","/")&amp;SUBSTITUTE(A248," ","%20"))</f>
        <v/>
      </c>
      <c r="I248" s="6" t="s">
        <v>29</v>
      </c>
      <c r="J248" s="6" t="s">
        <v>29</v>
      </c>
    </row>
    <row r="249" spans="1:10" ht="33.950000000000003" customHeight="1">
      <c r="A249" s="6" t="s">
        <v>29</v>
      </c>
      <c r="B249" s="6" t="s">
        <v>29</v>
      </c>
      <c r="C249" s="7" t="str">
        <f>IF(A249="","",IFERROR(IF(VLOOKUP(B249,Bibliotheques!$A$10:$B$59,2,FALSE)=0,"Nom manquant",VLOOKUP(B249,Bibliotheques!$A$10:$B$59,2,FALSE)),"Clé inconnue"))</f>
        <v/>
      </c>
      <c r="D249" s="6" t="s">
        <v>29</v>
      </c>
      <c r="E249" s="7" t="str">
        <f t="shared" si="3"/>
        <v/>
      </c>
      <c r="F249" s="6" t="s">
        <v>29</v>
      </c>
      <c r="G249" s="6" t="s">
        <v>29</v>
      </c>
      <c r="H249" s="8" t="str">
        <f>IF(A249="","",Bibliotheques!$B$5&amp;IF(RIGHT(Bibliotheques!$B$5,1)="/","","/")&amp;SUBSTITUTE(A249," ","%20"))</f>
        <v/>
      </c>
      <c r="I249" s="6" t="s">
        <v>29</v>
      </c>
      <c r="J249" s="6" t="s">
        <v>29</v>
      </c>
    </row>
    <row r="250" spans="1:10" ht="33.950000000000003" customHeight="1">
      <c r="A250" s="6" t="s">
        <v>29</v>
      </c>
      <c r="B250" s="6" t="s">
        <v>29</v>
      </c>
      <c r="C250" s="7" t="str">
        <f>IF(A250="","",IFERROR(IF(VLOOKUP(B250,Bibliotheques!$A$10:$B$59,2,FALSE)=0,"Nom manquant",VLOOKUP(B250,Bibliotheques!$A$10:$B$59,2,FALSE)),"Clé inconnue"))</f>
        <v/>
      </c>
      <c r="D250" s="6" t="s">
        <v>29</v>
      </c>
      <c r="E250" s="7" t="str">
        <f t="shared" si="3"/>
        <v/>
      </c>
      <c r="F250" s="6" t="s">
        <v>29</v>
      </c>
      <c r="G250" s="6" t="s">
        <v>29</v>
      </c>
      <c r="H250" s="8" t="str">
        <f>IF(A250="","",Bibliotheques!$B$5&amp;IF(RIGHT(Bibliotheques!$B$5,1)="/","","/")&amp;SUBSTITUTE(A250," ","%20"))</f>
        <v/>
      </c>
      <c r="I250" s="6" t="s">
        <v>29</v>
      </c>
      <c r="J250" s="6" t="s">
        <v>29</v>
      </c>
    </row>
    <row r="251" spans="1:10" ht="33.950000000000003" customHeight="1">
      <c r="A251" s="6" t="s">
        <v>29</v>
      </c>
      <c r="B251" s="6" t="s">
        <v>29</v>
      </c>
      <c r="C251" s="7" t="str">
        <f>IF(A251="","",IFERROR(IF(VLOOKUP(B251,Bibliotheques!$A$10:$B$59,2,FALSE)=0,"Nom manquant",VLOOKUP(B251,Bibliotheques!$A$10:$B$59,2,FALSE)),"Clé inconnue"))</f>
        <v/>
      </c>
      <c r="D251" s="6" t="s">
        <v>29</v>
      </c>
      <c r="E251" s="7" t="str">
        <f t="shared" si="3"/>
        <v/>
      </c>
      <c r="F251" s="6" t="s">
        <v>29</v>
      </c>
      <c r="G251" s="6" t="s">
        <v>29</v>
      </c>
      <c r="H251" s="8" t="str">
        <f>IF(A251="","",Bibliotheques!$B$5&amp;IF(RIGHT(Bibliotheques!$B$5,1)="/","","/")&amp;SUBSTITUTE(A251," ","%20"))</f>
        <v/>
      </c>
      <c r="I251" s="6" t="s">
        <v>29</v>
      </c>
      <c r="J251" s="6" t="s">
        <v>29</v>
      </c>
    </row>
    <row r="252" spans="1:10" ht="33.950000000000003" customHeight="1">
      <c r="A252" s="6" t="s">
        <v>29</v>
      </c>
      <c r="B252" s="6" t="s">
        <v>29</v>
      </c>
      <c r="C252" s="7" t="str">
        <f>IF(A252="","",IFERROR(IF(VLOOKUP(B252,Bibliotheques!$A$10:$B$59,2,FALSE)=0,"Nom manquant",VLOOKUP(B252,Bibliotheques!$A$10:$B$59,2,FALSE)),"Clé inconnue"))</f>
        <v/>
      </c>
      <c r="D252" s="6" t="s">
        <v>29</v>
      </c>
      <c r="E252" s="7" t="str">
        <f t="shared" si="3"/>
        <v/>
      </c>
      <c r="F252" s="6" t="s">
        <v>29</v>
      </c>
      <c r="G252" s="6" t="s">
        <v>29</v>
      </c>
      <c r="H252" s="8" t="str">
        <f>IF(A252="","",Bibliotheques!$B$5&amp;IF(RIGHT(Bibliotheques!$B$5,1)="/","","/")&amp;SUBSTITUTE(A252," ","%20"))</f>
        <v/>
      </c>
      <c r="I252" s="6" t="s">
        <v>29</v>
      </c>
      <c r="J252" s="6" t="s">
        <v>29</v>
      </c>
    </row>
    <row r="253" spans="1:10" ht="33.950000000000003" customHeight="1">
      <c r="A253" s="6" t="s">
        <v>29</v>
      </c>
      <c r="B253" s="6" t="s">
        <v>29</v>
      </c>
      <c r="C253" s="7" t="str">
        <f>IF(A253="","",IFERROR(IF(VLOOKUP(B253,Bibliotheques!$A$10:$B$59,2,FALSE)=0,"Nom manquant",VLOOKUP(B253,Bibliotheques!$A$10:$B$59,2,FALSE)),"Clé inconnue"))</f>
        <v/>
      </c>
      <c r="D253" s="6" t="s">
        <v>29</v>
      </c>
      <c r="E253" s="7" t="str">
        <f t="shared" si="3"/>
        <v/>
      </c>
      <c r="F253" s="6" t="s">
        <v>29</v>
      </c>
      <c r="G253" s="6" t="s">
        <v>29</v>
      </c>
      <c r="H253" s="8" t="str">
        <f>IF(A253="","",Bibliotheques!$B$5&amp;IF(RIGHT(Bibliotheques!$B$5,1)="/","","/")&amp;SUBSTITUTE(A253," ","%20"))</f>
        <v/>
      </c>
      <c r="I253" s="6" t="s">
        <v>29</v>
      </c>
      <c r="J253" s="6" t="s">
        <v>29</v>
      </c>
    </row>
    <row r="254" spans="1:10" ht="33.950000000000003" customHeight="1">
      <c r="A254" s="6" t="s">
        <v>29</v>
      </c>
      <c r="B254" s="6" t="s">
        <v>29</v>
      </c>
      <c r="C254" s="7" t="str">
        <f>IF(A254="","",IFERROR(IF(VLOOKUP(B254,Bibliotheques!$A$10:$B$59,2,FALSE)=0,"Nom manquant",VLOOKUP(B254,Bibliotheques!$A$10:$B$59,2,FALSE)),"Clé inconnue"))</f>
        <v/>
      </c>
      <c r="D254" s="6" t="s">
        <v>29</v>
      </c>
      <c r="E254" s="7" t="str">
        <f t="shared" si="3"/>
        <v/>
      </c>
      <c r="F254" s="6" t="s">
        <v>29</v>
      </c>
      <c r="G254" s="6" t="s">
        <v>29</v>
      </c>
      <c r="H254" s="8" t="str">
        <f>IF(A254="","",Bibliotheques!$B$5&amp;IF(RIGHT(Bibliotheques!$B$5,1)="/","","/")&amp;SUBSTITUTE(A254," ","%20"))</f>
        <v/>
      </c>
      <c r="I254" s="6" t="s">
        <v>29</v>
      </c>
      <c r="J254" s="6" t="s">
        <v>29</v>
      </c>
    </row>
    <row r="255" spans="1:10" ht="33.950000000000003" customHeight="1">
      <c r="A255" s="6" t="s">
        <v>29</v>
      </c>
      <c r="B255" s="6" t="s">
        <v>29</v>
      </c>
      <c r="C255" s="7" t="str">
        <f>IF(A255="","",IFERROR(IF(VLOOKUP(B255,Bibliotheques!$A$10:$B$59,2,FALSE)=0,"Nom manquant",VLOOKUP(B255,Bibliotheques!$A$10:$B$59,2,FALSE)),"Clé inconnue"))</f>
        <v/>
      </c>
      <c r="D255" s="6" t="s">
        <v>29</v>
      </c>
      <c r="E255" s="7" t="str">
        <f t="shared" si="3"/>
        <v/>
      </c>
      <c r="F255" s="6" t="s">
        <v>29</v>
      </c>
      <c r="G255" s="6" t="s">
        <v>29</v>
      </c>
      <c r="H255" s="8" t="str">
        <f>IF(A255="","",Bibliotheques!$B$5&amp;IF(RIGHT(Bibliotheques!$B$5,1)="/","","/")&amp;SUBSTITUTE(A255," ","%20"))</f>
        <v/>
      </c>
      <c r="I255" s="6" t="s">
        <v>29</v>
      </c>
      <c r="J255" s="6" t="s">
        <v>29</v>
      </c>
    </row>
    <row r="256" spans="1:10" ht="33.950000000000003" customHeight="1">
      <c r="A256" s="6" t="s">
        <v>29</v>
      </c>
      <c r="B256" s="6" t="s">
        <v>29</v>
      </c>
      <c r="C256" s="7" t="str">
        <f>IF(A256="","",IFERROR(IF(VLOOKUP(B256,Bibliotheques!$A$10:$B$59,2,FALSE)=0,"Nom manquant",VLOOKUP(B256,Bibliotheques!$A$10:$B$59,2,FALSE)),"Clé inconnue"))</f>
        <v/>
      </c>
      <c r="D256" s="6" t="s">
        <v>29</v>
      </c>
      <c r="E256" s="7" t="str">
        <f t="shared" si="3"/>
        <v/>
      </c>
      <c r="F256" s="6" t="s">
        <v>29</v>
      </c>
      <c r="G256" s="6" t="s">
        <v>29</v>
      </c>
      <c r="H256" s="8" t="str">
        <f>IF(A256="","",Bibliotheques!$B$5&amp;IF(RIGHT(Bibliotheques!$B$5,1)="/","","/")&amp;SUBSTITUTE(A256," ","%20"))</f>
        <v/>
      </c>
      <c r="I256" s="6" t="s">
        <v>29</v>
      </c>
      <c r="J256" s="6" t="s">
        <v>29</v>
      </c>
    </row>
    <row r="257" spans="1:10" ht="33.950000000000003" customHeight="1">
      <c r="A257" s="6" t="s">
        <v>29</v>
      </c>
      <c r="B257" s="6" t="s">
        <v>29</v>
      </c>
      <c r="C257" s="7" t="str">
        <f>IF(A257="","",IFERROR(IF(VLOOKUP(B257,Bibliotheques!$A$10:$B$59,2,FALSE)=0,"Nom manquant",VLOOKUP(B257,Bibliotheques!$A$10:$B$59,2,FALSE)),"Clé inconnue"))</f>
        <v/>
      </c>
      <c r="D257" s="6" t="s">
        <v>29</v>
      </c>
      <c r="E257" s="7" t="str">
        <f t="shared" si="3"/>
        <v/>
      </c>
      <c r="F257" s="6" t="s">
        <v>29</v>
      </c>
      <c r="G257" s="6" t="s">
        <v>29</v>
      </c>
      <c r="H257" s="8" t="str">
        <f>IF(A257="","",Bibliotheques!$B$5&amp;IF(RIGHT(Bibliotheques!$B$5,1)="/","","/")&amp;SUBSTITUTE(A257," ","%20"))</f>
        <v/>
      </c>
      <c r="I257" s="6" t="s">
        <v>29</v>
      </c>
      <c r="J257" s="6" t="s">
        <v>29</v>
      </c>
    </row>
    <row r="258" spans="1:10" ht="33.950000000000003" customHeight="1">
      <c r="A258" s="6" t="s">
        <v>29</v>
      </c>
      <c r="B258" s="6" t="s">
        <v>29</v>
      </c>
      <c r="C258" s="7" t="str">
        <f>IF(A258="","",IFERROR(IF(VLOOKUP(B258,Bibliotheques!$A$10:$B$59,2,FALSE)=0,"Nom manquant",VLOOKUP(B258,Bibliotheques!$A$10:$B$59,2,FALSE)),"Clé inconnue"))</f>
        <v/>
      </c>
      <c r="D258" s="6" t="s">
        <v>29</v>
      </c>
      <c r="E258" s="7" t="str">
        <f t="shared" si="3"/>
        <v/>
      </c>
      <c r="F258" s="6" t="s">
        <v>29</v>
      </c>
      <c r="G258" s="6" t="s">
        <v>29</v>
      </c>
      <c r="H258" s="8" t="str">
        <f>IF(A258="","",Bibliotheques!$B$5&amp;IF(RIGHT(Bibliotheques!$B$5,1)="/","","/")&amp;SUBSTITUTE(A258," ","%20"))</f>
        <v/>
      </c>
      <c r="I258" s="6" t="s">
        <v>29</v>
      </c>
      <c r="J258" s="6" t="s">
        <v>29</v>
      </c>
    </row>
    <row r="259" spans="1:10" ht="33.950000000000003" customHeight="1">
      <c r="A259" s="6" t="s">
        <v>29</v>
      </c>
      <c r="B259" s="6" t="s">
        <v>29</v>
      </c>
      <c r="C259" s="7" t="str">
        <f>IF(A259="","",IFERROR(IF(VLOOKUP(B259,Bibliotheques!$A$10:$B$59,2,FALSE)=0,"Nom manquant",VLOOKUP(B259,Bibliotheques!$A$10:$B$59,2,FALSE)),"Clé inconnue"))</f>
        <v/>
      </c>
      <c r="D259" s="6" t="s">
        <v>29</v>
      </c>
      <c r="E259" s="7" t="str">
        <f t="shared" si="3"/>
        <v/>
      </c>
      <c r="F259" s="6" t="s">
        <v>29</v>
      </c>
      <c r="G259" s="6" t="s">
        <v>29</v>
      </c>
      <c r="H259" s="8" t="str">
        <f>IF(A259="","",Bibliotheques!$B$5&amp;IF(RIGHT(Bibliotheques!$B$5,1)="/","","/")&amp;SUBSTITUTE(A259," ","%20"))</f>
        <v/>
      </c>
      <c r="I259" s="6" t="s">
        <v>29</v>
      </c>
      <c r="J259" s="6" t="s">
        <v>29</v>
      </c>
    </row>
    <row r="260" spans="1:10" ht="33.950000000000003" customHeight="1">
      <c r="A260" s="6" t="s">
        <v>29</v>
      </c>
      <c r="B260" s="6" t="s">
        <v>29</v>
      </c>
      <c r="C260" s="7" t="str">
        <f>IF(A260="","",IFERROR(IF(VLOOKUP(B260,Bibliotheques!$A$10:$B$59,2,FALSE)=0,"Nom manquant",VLOOKUP(B260,Bibliotheques!$A$10:$B$59,2,FALSE)),"Clé inconnue"))</f>
        <v/>
      </c>
      <c r="D260" s="6" t="s">
        <v>29</v>
      </c>
      <c r="E260" s="7" t="str">
        <f t="shared" si="3"/>
        <v/>
      </c>
      <c r="F260" s="6" t="s">
        <v>29</v>
      </c>
      <c r="G260" s="6" t="s">
        <v>29</v>
      </c>
      <c r="H260" s="8" t="str">
        <f>IF(A260="","",Bibliotheques!$B$5&amp;IF(RIGHT(Bibliotheques!$B$5,1)="/","","/")&amp;SUBSTITUTE(A260," ","%20"))</f>
        <v/>
      </c>
      <c r="I260" s="6" t="s">
        <v>29</v>
      </c>
      <c r="J260" s="6" t="s">
        <v>29</v>
      </c>
    </row>
    <row r="261" spans="1:10" ht="33.950000000000003" customHeight="1">
      <c r="A261" s="6" t="s">
        <v>29</v>
      </c>
      <c r="B261" s="6" t="s">
        <v>29</v>
      </c>
      <c r="C261" s="7" t="str">
        <f>IF(A261="","",IFERROR(IF(VLOOKUP(B261,Bibliotheques!$A$10:$B$59,2,FALSE)=0,"Nom manquant",VLOOKUP(B261,Bibliotheques!$A$10:$B$59,2,FALSE)),"Clé inconnue"))</f>
        <v/>
      </c>
      <c r="D261" s="6" t="s">
        <v>29</v>
      </c>
      <c r="E261" s="7" t="str">
        <f t="shared" si="3"/>
        <v/>
      </c>
      <c r="F261" s="6" t="s">
        <v>29</v>
      </c>
      <c r="G261" s="6" t="s">
        <v>29</v>
      </c>
      <c r="H261" s="8" t="str">
        <f>IF(A261="","",Bibliotheques!$B$5&amp;IF(RIGHT(Bibliotheques!$B$5,1)="/","","/")&amp;SUBSTITUTE(A261," ","%20"))</f>
        <v/>
      </c>
      <c r="I261" s="6" t="s">
        <v>29</v>
      </c>
      <c r="J261" s="6" t="s">
        <v>29</v>
      </c>
    </row>
    <row r="262" spans="1:10" ht="33.950000000000003" customHeight="1">
      <c r="A262" s="6" t="s">
        <v>29</v>
      </c>
      <c r="B262" s="6" t="s">
        <v>29</v>
      </c>
      <c r="C262" s="7" t="str">
        <f>IF(A262="","",IFERROR(IF(VLOOKUP(B262,Bibliotheques!$A$10:$B$59,2,FALSE)=0,"Nom manquant",VLOOKUP(B262,Bibliotheques!$A$10:$B$59,2,FALSE)),"Clé inconnue"))</f>
        <v/>
      </c>
      <c r="D262" s="6" t="s">
        <v>29</v>
      </c>
      <c r="E262" s="7" t="str">
        <f t="shared" ref="E262:E325" si="4">IF(A262="","",LOWER(B262&amp;"-"&amp;SUBSTITUTE(SUBSTITUTE(SUBSTITUTE(LOWER(A262),".svg","")," ","-"),"/","-")))</f>
        <v/>
      </c>
      <c r="F262" s="6" t="s">
        <v>29</v>
      </c>
      <c r="G262" s="6" t="s">
        <v>29</v>
      </c>
      <c r="H262" s="8" t="str">
        <f>IF(A262="","",Bibliotheques!$B$5&amp;IF(RIGHT(Bibliotheques!$B$5,1)="/","","/")&amp;SUBSTITUTE(A262," ","%20"))</f>
        <v/>
      </c>
      <c r="I262" s="6" t="s">
        <v>29</v>
      </c>
      <c r="J262" s="6" t="s">
        <v>29</v>
      </c>
    </row>
    <row r="263" spans="1:10" ht="33.950000000000003" customHeight="1">
      <c r="A263" s="6" t="s">
        <v>29</v>
      </c>
      <c r="B263" s="6" t="s">
        <v>29</v>
      </c>
      <c r="C263" s="7" t="str">
        <f>IF(A263="","",IFERROR(IF(VLOOKUP(B263,Bibliotheques!$A$10:$B$59,2,FALSE)=0,"Nom manquant",VLOOKUP(B263,Bibliotheques!$A$10:$B$59,2,FALSE)),"Clé inconnue"))</f>
        <v/>
      </c>
      <c r="D263" s="6" t="s">
        <v>29</v>
      </c>
      <c r="E263" s="7" t="str">
        <f t="shared" si="4"/>
        <v/>
      </c>
      <c r="F263" s="6" t="s">
        <v>29</v>
      </c>
      <c r="G263" s="6" t="s">
        <v>29</v>
      </c>
      <c r="H263" s="8" t="str">
        <f>IF(A263="","",Bibliotheques!$B$5&amp;IF(RIGHT(Bibliotheques!$B$5,1)="/","","/")&amp;SUBSTITUTE(A263," ","%20"))</f>
        <v/>
      </c>
      <c r="I263" s="6" t="s">
        <v>29</v>
      </c>
      <c r="J263" s="6" t="s">
        <v>29</v>
      </c>
    </row>
    <row r="264" spans="1:10" ht="33.950000000000003" customHeight="1">
      <c r="A264" s="6" t="s">
        <v>29</v>
      </c>
      <c r="B264" s="6" t="s">
        <v>29</v>
      </c>
      <c r="C264" s="7" t="str">
        <f>IF(A264="","",IFERROR(IF(VLOOKUP(B264,Bibliotheques!$A$10:$B$59,2,FALSE)=0,"Nom manquant",VLOOKUP(B264,Bibliotheques!$A$10:$B$59,2,FALSE)),"Clé inconnue"))</f>
        <v/>
      </c>
      <c r="D264" s="6" t="s">
        <v>29</v>
      </c>
      <c r="E264" s="7" t="str">
        <f t="shared" si="4"/>
        <v/>
      </c>
      <c r="F264" s="6" t="s">
        <v>29</v>
      </c>
      <c r="G264" s="6" t="s">
        <v>29</v>
      </c>
      <c r="H264" s="8" t="str">
        <f>IF(A264="","",Bibliotheques!$B$5&amp;IF(RIGHT(Bibliotheques!$B$5,1)="/","","/")&amp;SUBSTITUTE(A264," ","%20"))</f>
        <v/>
      </c>
      <c r="I264" s="6" t="s">
        <v>29</v>
      </c>
      <c r="J264" s="6" t="s">
        <v>29</v>
      </c>
    </row>
    <row r="265" spans="1:10" ht="33.950000000000003" customHeight="1">
      <c r="A265" s="6" t="s">
        <v>29</v>
      </c>
      <c r="B265" s="6" t="s">
        <v>29</v>
      </c>
      <c r="C265" s="7" t="str">
        <f>IF(A265="","",IFERROR(IF(VLOOKUP(B265,Bibliotheques!$A$10:$B$59,2,FALSE)=0,"Nom manquant",VLOOKUP(B265,Bibliotheques!$A$10:$B$59,2,FALSE)),"Clé inconnue"))</f>
        <v/>
      </c>
      <c r="D265" s="6" t="s">
        <v>29</v>
      </c>
      <c r="E265" s="7" t="str">
        <f t="shared" si="4"/>
        <v/>
      </c>
      <c r="F265" s="6" t="s">
        <v>29</v>
      </c>
      <c r="G265" s="6" t="s">
        <v>29</v>
      </c>
      <c r="H265" s="8" t="str">
        <f>IF(A265="","",Bibliotheques!$B$5&amp;IF(RIGHT(Bibliotheques!$B$5,1)="/","","/")&amp;SUBSTITUTE(A265," ","%20"))</f>
        <v/>
      </c>
      <c r="I265" s="6" t="s">
        <v>29</v>
      </c>
      <c r="J265" s="6" t="s">
        <v>29</v>
      </c>
    </row>
    <row r="266" spans="1:10" ht="33.950000000000003" customHeight="1">
      <c r="A266" s="6" t="s">
        <v>29</v>
      </c>
      <c r="B266" s="6" t="s">
        <v>29</v>
      </c>
      <c r="C266" s="7" t="str">
        <f>IF(A266="","",IFERROR(IF(VLOOKUP(B266,Bibliotheques!$A$10:$B$59,2,FALSE)=0,"Nom manquant",VLOOKUP(B266,Bibliotheques!$A$10:$B$59,2,FALSE)),"Clé inconnue"))</f>
        <v/>
      </c>
      <c r="D266" s="6" t="s">
        <v>29</v>
      </c>
      <c r="E266" s="7" t="str">
        <f t="shared" si="4"/>
        <v/>
      </c>
      <c r="F266" s="6" t="s">
        <v>29</v>
      </c>
      <c r="G266" s="6" t="s">
        <v>29</v>
      </c>
      <c r="H266" s="8" t="str">
        <f>IF(A266="","",Bibliotheques!$B$5&amp;IF(RIGHT(Bibliotheques!$B$5,1)="/","","/")&amp;SUBSTITUTE(A266," ","%20"))</f>
        <v/>
      </c>
      <c r="I266" s="6" t="s">
        <v>29</v>
      </c>
      <c r="J266" s="6" t="s">
        <v>29</v>
      </c>
    </row>
    <row r="267" spans="1:10" ht="33.950000000000003" customHeight="1">
      <c r="A267" s="6" t="s">
        <v>29</v>
      </c>
      <c r="B267" s="6" t="s">
        <v>29</v>
      </c>
      <c r="C267" s="7" t="str">
        <f>IF(A267="","",IFERROR(IF(VLOOKUP(B267,Bibliotheques!$A$10:$B$59,2,FALSE)=0,"Nom manquant",VLOOKUP(B267,Bibliotheques!$A$10:$B$59,2,FALSE)),"Clé inconnue"))</f>
        <v/>
      </c>
      <c r="D267" s="6" t="s">
        <v>29</v>
      </c>
      <c r="E267" s="7" t="str">
        <f t="shared" si="4"/>
        <v/>
      </c>
      <c r="F267" s="6" t="s">
        <v>29</v>
      </c>
      <c r="G267" s="6" t="s">
        <v>29</v>
      </c>
      <c r="H267" s="8" t="str">
        <f>IF(A267="","",Bibliotheques!$B$5&amp;IF(RIGHT(Bibliotheques!$B$5,1)="/","","/")&amp;SUBSTITUTE(A267," ","%20"))</f>
        <v/>
      </c>
      <c r="I267" s="6" t="s">
        <v>29</v>
      </c>
      <c r="J267" s="6" t="s">
        <v>29</v>
      </c>
    </row>
    <row r="268" spans="1:10" ht="33.950000000000003" customHeight="1">
      <c r="A268" s="6" t="s">
        <v>29</v>
      </c>
      <c r="B268" s="6" t="s">
        <v>29</v>
      </c>
      <c r="C268" s="7" t="str">
        <f>IF(A268="","",IFERROR(IF(VLOOKUP(B268,Bibliotheques!$A$10:$B$59,2,FALSE)=0,"Nom manquant",VLOOKUP(B268,Bibliotheques!$A$10:$B$59,2,FALSE)),"Clé inconnue"))</f>
        <v/>
      </c>
      <c r="D268" s="6" t="s">
        <v>29</v>
      </c>
      <c r="E268" s="7" t="str">
        <f t="shared" si="4"/>
        <v/>
      </c>
      <c r="F268" s="6" t="s">
        <v>29</v>
      </c>
      <c r="G268" s="6" t="s">
        <v>29</v>
      </c>
      <c r="H268" s="8" t="str">
        <f>IF(A268="","",Bibliotheques!$B$5&amp;IF(RIGHT(Bibliotheques!$B$5,1)="/","","/")&amp;SUBSTITUTE(A268," ","%20"))</f>
        <v/>
      </c>
      <c r="I268" s="6" t="s">
        <v>29</v>
      </c>
      <c r="J268" s="6" t="s">
        <v>29</v>
      </c>
    </row>
    <row r="269" spans="1:10" ht="33.950000000000003" customHeight="1">
      <c r="A269" s="6" t="s">
        <v>29</v>
      </c>
      <c r="B269" s="6" t="s">
        <v>29</v>
      </c>
      <c r="C269" s="7" t="str">
        <f>IF(A269="","",IFERROR(IF(VLOOKUP(B269,Bibliotheques!$A$10:$B$59,2,FALSE)=0,"Nom manquant",VLOOKUP(B269,Bibliotheques!$A$10:$B$59,2,FALSE)),"Clé inconnue"))</f>
        <v/>
      </c>
      <c r="D269" s="6" t="s">
        <v>29</v>
      </c>
      <c r="E269" s="7" t="str">
        <f t="shared" si="4"/>
        <v/>
      </c>
      <c r="F269" s="6" t="s">
        <v>29</v>
      </c>
      <c r="G269" s="6" t="s">
        <v>29</v>
      </c>
      <c r="H269" s="8" t="str">
        <f>IF(A269="","",Bibliotheques!$B$5&amp;IF(RIGHT(Bibliotheques!$B$5,1)="/","","/")&amp;SUBSTITUTE(A269," ","%20"))</f>
        <v/>
      </c>
      <c r="I269" s="6" t="s">
        <v>29</v>
      </c>
      <c r="J269" s="6" t="s">
        <v>29</v>
      </c>
    </row>
    <row r="270" spans="1:10" ht="33.950000000000003" customHeight="1">
      <c r="A270" s="6" t="s">
        <v>29</v>
      </c>
      <c r="B270" s="6" t="s">
        <v>29</v>
      </c>
      <c r="C270" s="7" t="str">
        <f>IF(A270="","",IFERROR(IF(VLOOKUP(B270,Bibliotheques!$A$10:$B$59,2,FALSE)=0,"Nom manquant",VLOOKUP(B270,Bibliotheques!$A$10:$B$59,2,FALSE)),"Clé inconnue"))</f>
        <v/>
      </c>
      <c r="D270" s="6" t="s">
        <v>29</v>
      </c>
      <c r="E270" s="7" t="str">
        <f t="shared" si="4"/>
        <v/>
      </c>
      <c r="F270" s="6" t="s">
        <v>29</v>
      </c>
      <c r="G270" s="6" t="s">
        <v>29</v>
      </c>
      <c r="H270" s="8" t="str">
        <f>IF(A270="","",Bibliotheques!$B$5&amp;IF(RIGHT(Bibliotheques!$B$5,1)="/","","/")&amp;SUBSTITUTE(A270," ","%20"))</f>
        <v/>
      </c>
      <c r="I270" s="6" t="s">
        <v>29</v>
      </c>
      <c r="J270" s="6" t="s">
        <v>29</v>
      </c>
    </row>
    <row r="271" spans="1:10" ht="33.950000000000003" customHeight="1">
      <c r="A271" s="6" t="s">
        <v>29</v>
      </c>
      <c r="B271" s="6" t="s">
        <v>29</v>
      </c>
      <c r="C271" s="7" t="str">
        <f>IF(A271="","",IFERROR(IF(VLOOKUP(B271,Bibliotheques!$A$10:$B$59,2,FALSE)=0,"Nom manquant",VLOOKUP(B271,Bibliotheques!$A$10:$B$59,2,FALSE)),"Clé inconnue"))</f>
        <v/>
      </c>
      <c r="D271" s="6" t="s">
        <v>29</v>
      </c>
      <c r="E271" s="7" t="str">
        <f t="shared" si="4"/>
        <v/>
      </c>
      <c r="F271" s="6" t="s">
        <v>29</v>
      </c>
      <c r="G271" s="6" t="s">
        <v>29</v>
      </c>
      <c r="H271" s="8" t="str">
        <f>IF(A271="","",Bibliotheques!$B$5&amp;IF(RIGHT(Bibliotheques!$B$5,1)="/","","/")&amp;SUBSTITUTE(A271," ","%20"))</f>
        <v/>
      </c>
      <c r="I271" s="6" t="s">
        <v>29</v>
      </c>
      <c r="J271" s="6" t="s">
        <v>29</v>
      </c>
    </row>
    <row r="272" spans="1:10" ht="33.950000000000003" customHeight="1">
      <c r="A272" s="6" t="s">
        <v>29</v>
      </c>
      <c r="B272" s="6" t="s">
        <v>29</v>
      </c>
      <c r="C272" s="7" t="str">
        <f>IF(A272="","",IFERROR(IF(VLOOKUP(B272,Bibliotheques!$A$10:$B$59,2,FALSE)=0,"Nom manquant",VLOOKUP(B272,Bibliotheques!$A$10:$B$59,2,FALSE)),"Clé inconnue"))</f>
        <v/>
      </c>
      <c r="D272" s="6" t="s">
        <v>29</v>
      </c>
      <c r="E272" s="7" t="str">
        <f t="shared" si="4"/>
        <v/>
      </c>
      <c r="F272" s="6" t="s">
        <v>29</v>
      </c>
      <c r="G272" s="6" t="s">
        <v>29</v>
      </c>
      <c r="H272" s="8" t="str">
        <f>IF(A272="","",Bibliotheques!$B$5&amp;IF(RIGHT(Bibliotheques!$B$5,1)="/","","/")&amp;SUBSTITUTE(A272," ","%20"))</f>
        <v/>
      </c>
      <c r="I272" s="6" t="s">
        <v>29</v>
      </c>
      <c r="J272" s="6" t="s">
        <v>29</v>
      </c>
    </row>
    <row r="273" spans="1:10" ht="33.950000000000003" customHeight="1">
      <c r="A273" s="6" t="s">
        <v>29</v>
      </c>
      <c r="B273" s="6" t="s">
        <v>29</v>
      </c>
      <c r="C273" s="7" t="str">
        <f>IF(A273="","",IFERROR(IF(VLOOKUP(B273,Bibliotheques!$A$10:$B$59,2,FALSE)=0,"Nom manquant",VLOOKUP(B273,Bibliotheques!$A$10:$B$59,2,FALSE)),"Clé inconnue"))</f>
        <v/>
      </c>
      <c r="D273" s="6" t="s">
        <v>29</v>
      </c>
      <c r="E273" s="7" t="str">
        <f t="shared" si="4"/>
        <v/>
      </c>
      <c r="F273" s="6" t="s">
        <v>29</v>
      </c>
      <c r="G273" s="6" t="s">
        <v>29</v>
      </c>
      <c r="H273" s="8" t="str">
        <f>IF(A273="","",Bibliotheques!$B$5&amp;IF(RIGHT(Bibliotheques!$B$5,1)="/","","/")&amp;SUBSTITUTE(A273," ","%20"))</f>
        <v/>
      </c>
      <c r="I273" s="6" t="s">
        <v>29</v>
      </c>
      <c r="J273" s="6" t="s">
        <v>29</v>
      </c>
    </row>
    <row r="274" spans="1:10" ht="33.950000000000003" customHeight="1">
      <c r="A274" s="6" t="s">
        <v>29</v>
      </c>
      <c r="B274" s="6" t="s">
        <v>29</v>
      </c>
      <c r="C274" s="7" t="str">
        <f>IF(A274="","",IFERROR(IF(VLOOKUP(B274,Bibliotheques!$A$10:$B$59,2,FALSE)=0,"Nom manquant",VLOOKUP(B274,Bibliotheques!$A$10:$B$59,2,FALSE)),"Clé inconnue"))</f>
        <v/>
      </c>
      <c r="D274" s="6" t="s">
        <v>29</v>
      </c>
      <c r="E274" s="7" t="str">
        <f t="shared" si="4"/>
        <v/>
      </c>
      <c r="F274" s="6" t="s">
        <v>29</v>
      </c>
      <c r="G274" s="6" t="s">
        <v>29</v>
      </c>
      <c r="H274" s="8" t="str">
        <f>IF(A274="","",Bibliotheques!$B$5&amp;IF(RIGHT(Bibliotheques!$B$5,1)="/","","/")&amp;SUBSTITUTE(A274," ","%20"))</f>
        <v/>
      </c>
      <c r="I274" s="6" t="s">
        <v>29</v>
      </c>
      <c r="J274" s="6" t="s">
        <v>29</v>
      </c>
    </row>
    <row r="275" spans="1:10" ht="33.950000000000003" customHeight="1">
      <c r="A275" s="6" t="s">
        <v>29</v>
      </c>
      <c r="B275" s="6" t="s">
        <v>29</v>
      </c>
      <c r="C275" s="7" t="str">
        <f>IF(A275="","",IFERROR(IF(VLOOKUP(B275,Bibliotheques!$A$10:$B$59,2,FALSE)=0,"Nom manquant",VLOOKUP(B275,Bibliotheques!$A$10:$B$59,2,FALSE)),"Clé inconnue"))</f>
        <v/>
      </c>
      <c r="D275" s="6" t="s">
        <v>29</v>
      </c>
      <c r="E275" s="7" t="str">
        <f t="shared" si="4"/>
        <v/>
      </c>
      <c r="F275" s="6" t="s">
        <v>29</v>
      </c>
      <c r="G275" s="6" t="s">
        <v>29</v>
      </c>
      <c r="H275" s="8" t="str">
        <f>IF(A275="","",Bibliotheques!$B$5&amp;IF(RIGHT(Bibliotheques!$B$5,1)="/","","/")&amp;SUBSTITUTE(A275," ","%20"))</f>
        <v/>
      </c>
      <c r="I275" s="6" t="s">
        <v>29</v>
      </c>
      <c r="J275" s="6" t="s">
        <v>29</v>
      </c>
    </row>
    <row r="276" spans="1:10" ht="33.950000000000003" customHeight="1">
      <c r="A276" s="6" t="s">
        <v>29</v>
      </c>
      <c r="B276" s="6" t="s">
        <v>29</v>
      </c>
      <c r="C276" s="7" t="str">
        <f>IF(A276="","",IFERROR(IF(VLOOKUP(B276,Bibliotheques!$A$10:$B$59,2,FALSE)=0,"Nom manquant",VLOOKUP(B276,Bibliotheques!$A$10:$B$59,2,FALSE)),"Clé inconnue"))</f>
        <v/>
      </c>
      <c r="D276" s="6" t="s">
        <v>29</v>
      </c>
      <c r="E276" s="7" t="str">
        <f t="shared" si="4"/>
        <v/>
      </c>
      <c r="F276" s="6" t="s">
        <v>29</v>
      </c>
      <c r="G276" s="6" t="s">
        <v>29</v>
      </c>
      <c r="H276" s="8" t="str">
        <f>IF(A276="","",Bibliotheques!$B$5&amp;IF(RIGHT(Bibliotheques!$B$5,1)="/","","/")&amp;SUBSTITUTE(A276," ","%20"))</f>
        <v/>
      </c>
      <c r="I276" s="6" t="s">
        <v>29</v>
      </c>
      <c r="J276" s="6" t="s">
        <v>29</v>
      </c>
    </row>
    <row r="277" spans="1:10" ht="33.950000000000003" customHeight="1">
      <c r="A277" s="6" t="s">
        <v>29</v>
      </c>
      <c r="B277" s="6" t="s">
        <v>29</v>
      </c>
      <c r="C277" s="7" t="str">
        <f>IF(A277="","",IFERROR(IF(VLOOKUP(B277,Bibliotheques!$A$10:$B$59,2,FALSE)=0,"Nom manquant",VLOOKUP(B277,Bibliotheques!$A$10:$B$59,2,FALSE)),"Clé inconnue"))</f>
        <v/>
      </c>
      <c r="D277" s="6" t="s">
        <v>29</v>
      </c>
      <c r="E277" s="7" t="str">
        <f t="shared" si="4"/>
        <v/>
      </c>
      <c r="F277" s="6" t="s">
        <v>29</v>
      </c>
      <c r="G277" s="6" t="s">
        <v>29</v>
      </c>
      <c r="H277" s="8" t="str">
        <f>IF(A277="","",Bibliotheques!$B$5&amp;IF(RIGHT(Bibliotheques!$B$5,1)="/","","/")&amp;SUBSTITUTE(A277," ","%20"))</f>
        <v/>
      </c>
      <c r="I277" s="6" t="s">
        <v>29</v>
      </c>
      <c r="J277" s="6" t="s">
        <v>29</v>
      </c>
    </row>
    <row r="278" spans="1:10" ht="33.950000000000003" customHeight="1">
      <c r="A278" s="6" t="s">
        <v>29</v>
      </c>
      <c r="B278" s="6" t="s">
        <v>29</v>
      </c>
      <c r="C278" s="7" t="str">
        <f>IF(A278="","",IFERROR(IF(VLOOKUP(B278,Bibliotheques!$A$10:$B$59,2,FALSE)=0,"Nom manquant",VLOOKUP(B278,Bibliotheques!$A$10:$B$59,2,FALSE)),"Clé inconnue"))</f>
        <v/>
      </c>
      <c r="D278" s="6" t="s">
        <v>29</v>
      </c>
      <c r="E278" s="7" t="str">
        <f t="shared" si="4"/>
        <v/>
      </c>
      <c r="F278" s="6" t="s">
        <v>29</v>
      </c>
      <c r="G278" s="6" t="s">
        <v>29</v>
      </c>
      <c r="H278" s="8" t="str">
        <f>IF(A278="","",Bibliotheques!$B$5&amp;IF(RIGHT(Bibliotheques!$B$5,1)="/","","/")&amp;SUBSTITUTE(A278," ","%20"))</f>
        <v/>
      </c>
      <c r="I278" s="6" t="s">
        <v>29</v>
      </c>
      <c r="J278" s="6" t="s">
        <v>29</v>
      </c>
    </row>
    <row r="279" spans="1:10" ht="33.950000000000003" customHeight="1">
      <c r="A279" s="6" t="s">
        <v>29</v>
      </c>
      <c r="B279" s="6" t="s">
        <v>29</v>
      </c>
      <c r="C279" s="7" t="str">
        <f>IF(A279="","",IFERROR(IF(VLOOKUP(B279,Bibliotheques!$A$10:$B$59,2,FALSE)=0,"Nom manquant",VLOOKUP(B279,Bibliotheques!$A$10:$B$59,2,FALSE)),"Clé inconnue"))</f>
        <v/>
      </c>
      <c r="D279" s="6" t="s">
        <v>29</v>
      </c>
      <c r="E279" s="7" t="str">
        <f t="shared" si="4"/>
        <v/>
      </c>
      <c r="F279" s="6" t="s">
        <v>29</v>
      </c>
      <c r="G279" s="6" t="s">
        <v>29</v>
      </c>
      <c r="H279" s="8" t="str">
        <f>IF(A279="","",Bibliotheques!$B$5&amp;IF(RIGHT(Bibliotheques!$B$5,1)="/","","/")&amp;SUBSTITUTE(A279," ","%20"))</f>
        <v/>
      </c>
      <c r="I279" s="6" t="s">
        <v>29</v>
      </c>
      <c r="J279" s="6" t="s">
        <v>29</v>
      </c>
    </row>
    <row r="280" spans="1:10" ht="33.950000000000003" customHeight="1">
      <c r="A280" s="6" t="s">
        <v>29</v>
      </c>
      <c r="B280" s="6" t="s">
        <v>29</v>
      </c>
      <c r="C280" s="7" t="str">
        <f>IF(A280="","",IFERROR(IF(VLOOKUP(B280,Bibliotheques!$A$10:$B$59,2,FALSE)=0,"Nom manquant",VLOOKUP(B280,Bibliotheques!$A$10:$B$59,2,FALSE)),"Clé inconnue"))</f>
        <v/>
      </c>
      <c r="D280" s="6" t="s">
        <v>29</v>
      </c>
      <c r="E280" s="7" t="str">
        <f t="shared" si="4"/>
        <v/>
      </c>
      <c r="F280" s="6" t="s">
        <v>29</v>
      </c>
      <c r="G280" s="6" t="s">
        <v>29</v>
      </c>
      <c r="H280" s="8" t="str">
        <f>IF(A280="","",Bibliotheques!$B$5&amp;IF(RIGHT(Bibliotheques!$B$5,1)="/","","/")&amp;SUBSTITUTE(A280," ","%20"))</f>
        <v/>
      </c>
      <c r="I280" s="6" t="s">
        <v>29</v>
      </c>
      <c r="J280" s="6" t="s">
        <v>29</v>
      </c>
    </row>
    <row r="281" spans="1:10" ht="33.950000000000003" customHeight="1">
      <c r="A281" s="6" t="s">
        <v>29</v>
      </c>
      <c r="B281" s="6" t="s">
        <v>29</v>
      </c>
      <c r="C281" s="7" t="str">
        <f>IF(A281="","",IFERROR(IF(VLOOKUP(B281,Bibliotheques!$A$10:$B$59,2,FALSE)=0,"Nom manquant",VLOOKUP(B281,Bibliotheques!$A$10:$B$59,2,FALSE)),"Clé inconnue"))</f>
        <v/>
      </c>
      <c r="D281" s="6" t="s">
        <v>29</v>
      </c>
      <c r="E281" s="7" t="str">
        <f t="shared" si="4"/>
        <v/>
      </c>
      <c r="F281" s="6" t="s">
        <v>29</v>
      </c>
      <c r="G281" s="6" t="s">
        <v>29</v>
      </c>
      <c r="H281" s="8" t="str">
        <f>IF(A281="","",Bibliotheques!$B$5&amp;IF(RIGHT(Bibliotheques!$B$5,1)="/","","/")&amp;SUBSTITUTE(A281," ","%20"))</f>
        <v/>
      </c>
      <c r="I281" s="6" t="s">
        <v>29</v>
      </c>
      <c r="J281" s="6" t="s">
        <v>29</v>
      </c>
    </row>
    <row r="282" spans="1:10" ht="33.950000000000003" customHeight="1">
      <c r="A282" s="6" t="s">
        <v>29</v>
      </c>
      <c r="B282" s="6" t="s">
        <v>29</v>
      </c>
      <c r="C282" s="7" t="str">
        <f>IF(A282="","",IFERROR(IF(VLOOKUP(B282,Bibliotheques!$A$10:$B$59,2,FALSE)=0,"Nom manquant",VLOOKUP(B282,Bibliotheques!$A$10:$B$59,2,FALSE)),"Clé inconnue"))</f>
        <v/>
      </c>
      <c r="D282" s="6" t="s">
        <v>29</v>
      </c>
      <c r="E282" s="7" t="str">
        <f t="shared" si="4"/>
        <v/>
      </c>
      <c r="F282" s="6" t="s">
        <v>29</v>
      </c>
      <c r="G282" s="6" t="s">
        <v>29</v>
      </c>
      <c r="H282" s="8" t="str">
        <f>IF(A282="","",Bibliotheques!$B$5&amp;IF(RIGHT(Bibliotheques!$B$5,1)="/","","/")&amp;SUBSTITUTE(A282," ","%20"))</f>
        <v/>
      </c>
      <c r="I282" s="6" t="s">
        <v>29</v>
      </c>
      <c r="J282" s="6" t="s">
        <v>29</v>
      </c>
    </row>
    <row r="283" spans="1:10" ht="33.950000000000003" customHeight="1">
      <c r="A283" s="6" t="s">
        <v>29</v>
      </c>
      <c r="B283" s="6" t="s">
        <v>29</v>
      </c>
      <c r="C283" s="7" t="str">
        <f>IF(A283="","",IFERROR(IF(VLOOKUP(B283,Bibliotheques!$A$10:$B$59,2,FALSE)=0,"Nom manquant",VLOOKUP(B283,Bibliotheques!$A$10:$B$59,2,FALSE)),"Clé inconnue"))</f>
        <v/>
      </c>
      <c r="D283" s="6" t="s">
        <v>29</v>
      </c>
      <c r="E283" s="7" t="str">
        <f t="shared" si="4"/>
        <v/>
      </c>
      <c r="F283" s="6" t="s">
        <v>29</v>
      </c>
      <c r="G283" s="6" t="s">
        <v>29</v>
      </c>
      <c r="H283" s="8" t="str">
        <f>IF(A283="","",Bibliotheques!$B$5&amp;IF(RIGHT(Bibliotheques!$B$5,1)="/","","/")&amp;SUBSTITUTE(A283," ","%20"))</f>
        <v/>
      </c>
      <c r="I283" s="6" t="s">
        <v>29</v>
      </c>
      <c r="J283" s="6" t="s">
        <v>29</v>
      </c>
    </row>
    <row r="284" spans="1:10" ht="33.950000000000003" customHeight="1">
      <c r="A284" s="6" t="s">
        <v>29</v>
      </c>
      <c r="B284" s="6" t="s">
        <v>29</v>
      </c>
      <c r="C284" s="7" t="str">
        <f>IF(A284="","",IFERROR(IF(VLOOKUP(B284,Bibliotheques!$A$10:$B$59,2,FALSE)=0,"Nom manquant",VLOOKUP(B284,Bibliotheques!$A$10:$B$59,2,FALSE)),"Clé inconnue"))</f>
        <v/>
      </c>
      <c r="D284" s="6" t="s">
        <v>29</v>
      </c>
      <c r="E284" s="7" t="str">
        <f t="shared" si="4"/>
        <v/>
      </c>
      <c r="F284" s="6" t="s">
        <v>29</v>
      </c>
      <c r="G284" s="6" t="s">
        <v>29</v>
      </c>
      <c r="H284" s="8" t="str">
        <f>IF(A284="","",Bibliotheques!$B$5&amp;IF(RIGHT(Bibliotheques!$B$5,1)="/","","/")&amp;SUBSTITUTE(A284," ","%20"))</f>
        <v/>
      </c>
      <c r="I284" s="6" t="s">
        <v>29</v>
      </c>
      <c r="J284" s="6" t="s">
        <v>29</v>
      </c>
    </row>
    <row r="285" spans="1:10" ht="33.950000000000003" customHeight="1">
      <c r="A285" s="6" t="s">
        <v>29</v>
      </c>
      <c r="B285" s="6" t="s">
        <v>29</v>
      </c>
      <c r="C285" s="7" t="str">
        <f>IF(A285="","",IFERROR(IF(VLOOKUP(B285,Bibliotheques!$A$10:$B$59,2,FALSE)=0,"Nom manquant",VLOOKUP(B285,Bibliotheques!$A$10:$B$59,2,FALSE)),"Clé inconnue"))</f>
        <v/>
      </c>
      <c r="D285" s="6" t="s">
        <v>29</v>
      </c>
      <c r="E285" s="7" t="str">
        <f t="shared" si="4"/>
        <v/>
      </c>
      <c r="F285" s="6" t="s">
        <v>29</v>
      </c>
      <c r="G285" s="6" t="s">
        <v>29</v>
      </c>
      <c r="H285" s="8" t="str">
        <f>IF(A285="","",Bibliotheques!$B$5&amp;IF(RIGHT(Bibliotheques!$B$5,1)="/","","/")&amp;SUBSTITUTE(A285," ","%20"))</f>
        <v/>
      </c>
      <c r="I285" s="6" t="s">
        <v>29</v>
      </c>
      <c r="J285" s="6" t="s">
        <v>29</v>
      </c>
    </row>
    <row r="286" spans="1:10" ht="33.950000000000003" customHeight="1">
      <c r="A286" s="6" t="s">
        <v>29</v>
      </c>
      <c r="B286" s="6" t="s">
        <v>29</v>
      </c>
      <c r="C286" s="7" t="str">
        <f>IF(A286="","",IFERROR(IF(VLOOKUP(B286,Bibliotheques!$A$10:$B$59,2,FALSE)=0,"Nom manquant",VLOOKUP(B286,Bibliotheques!$A$10:$B$59,2,FALSE)),"Clé inconnue"))</f>
        <v/>
      </c>
      <c r="D286" s="6" t="s">
        <v>29</v>
      </c>
      <c r="E286" s="7" t="str">
        <f t="shared" si="4"/>
        <v/>
      </c>
      <c r="F286" s="6" t="s">
        <v>29</v>
      </c>
      <c r="G286" s="6" t="s">
        <v>29</v>
      </c>
      <c r="H286" s="8" t="str">
        <f>IF(A286="","",Bibliotheques!$B$5&amp;IF(RIGHT(Bibliotheques!$B$5,1)="/","","/")&amp;SUBSTITUTE(A286," ","%20"))</f>
        <v/>
      </c>
      <c r="I286" s="6" t="s">
        <v>29</v>
      </c>
      <c r="J286" s="6" t="s">
        <v>29</v>
      </c>
    </row>
    <row r="287" spans="1:10" ht="33.950000000000003" customHeight="1">
      <c r="A287" s="6" t="s">
        <v>29</v>
      </c>
      <c r="B287" s="6" t="s">
        <v>29</v>
      </c>
      <c r="C287" s="7" t="str">
        <f>IF(A287="","",IFERROR(IF(VLOOKUP(B287,Bibliotheques!$A$10:$B$59,2,FALSE)=0,"Nom manquant",VLOOKUP(B287,Bibliotheques!$A$10:$B$59,2,FALSE)),"Clé inconnue"))</f>
        <v/>
      </c>
      <c r="D287" s="6" t="s">
        <v>29</v>
      </c>
      <c r="E287" s="7" t="str">
        <f t="shared" si="4"/>
        <v/>
      </c>
      <c r="F287" s="6" t="s">
        <v>29</v>
      </c>
      <c r="G287" s="6" t="s">
        <v>29</v>
      </c>
      <c r="H287" s="8" t="str">
        <f>IF(A287="","",Bibliotheques!$B$5&amp;IF(RIGHT(Bibliotheques!$B$5,1)="/","","/")&amp;SUBSTITUTE(A287," ","%20"))</f>
        <v/>
      </c>
      <c r="I287" s="6" t="s">
        <v>29</v>
      </c>
      <c r="J287" s="6" t="s">
        <v>29</v>
      </c>
    </row>
    <row r="288" spans="1:10" ht="33.950000000000003" customHeight="1">
      <c r="A288" s="6" t="s">
        <v>29</v>
      </c>
      <c r="B288" s="6" t="s">
        <v>29</v>
      </c>
      <c r="C288" s="7" t="str">
        <f>IF(A288="","",IFERROR(IF(VLOOKUP(B288,Bibliotheques!$A$10:$B$59,2,FALSE)=0,"Nom manquant",VLOOKUP(B288,Bibliotheques!$A$10:$B$59,2,FALSE)),"Clé inconnue"))</f>
        <v/>
      </c>
      <c r="D288" s="6" t="s">
        <v>29</v>
      </c>
      <c r="E288" s="7" t="str">
        <f t="shared" si="4"/>
        <v/>
      </c>
      <c r="F288" s="6" t="s">
        <v>29</v>
      </c>
      <c r="G288" s="6" t="s">
        <v>29</v>
      </c>
      <c r="H288" s="8" t="str">
        <f>IF(A288="","",Bibliotheques!$B$5&amp;IF(RIGHT(Bibliotheques!$B$5,1)="/","","/")&amp;SUBSTITUTE(A288," ","%20"))</f>
        <v/>
      </c>
      <c r="I288" s="6" t="s">
        <v>29</v>
      </c>
      <c r="J288" s="6" t="s">
        <v>29</v>
      </c>
    </row>
    <row r="289" spans="1:10" ht="33.950000000000003" customHeight="1">
      <c r="A289" s="6" t="s">
        <v>29</v>
      </c>
      <c r="B289" s="6" t="s">
        <v>29</v>
      </c>
      <c r="C289" s="7" t="str">
        <f>IF(A289="","",IFERROR(IF(VLOOKUP(B289,Bibliotheques!$A$10:$B$59,2,FALSE)=0,"Nom manquant",VLOOKUP(B289,Bibliotheques!$A$10:$B$59,2,FALSE)),"Clé inconnue"))</f>
        <v/>
      </c>
      <c r="D289" s="6" t="s">
        <v>29</v>
      </c>
      <c r="E289" s="7" t="str">
        <f t="shared" si="4"/>
        <v/>
      </c>
      <c r="F289" s="6" t="s">
        <v>29</v>
      </c>
      <c r="G289" s="6" t="s">
        <v>29</v>
      </c>
      <c r="H289" s="8" t="str">
        <f>IF(A289="","",Bibliotheques!$B$5&amp;IF(RIGHT(Bibliotheques!$B$5,1)="/","","/")&amp;SUBSTITUTE(A289," ","%20"))</f>
        <v/>
      </c>
      <c r="I289" s="6" t="s">
        <v>29</v>
      </c>
      <c r="J289" s="6" t="s">
        <v>29</v>
      </c>
    </row>
    <row r="290" spans="1:10" ht="33.950000000000003" customHeight="1">
      <c r="A290" s="6" t="s">
        <v>29</v>
      </c>
      <c r="B290" s="6" t="s">
        <v>29</v>
      </c>
      <c r="C290" s="7" t="str">
        <f>IF(A290="","",IFERROR(IF(VLOOKUP(B290,Bibliotheques!$A$10:$B$59,2,FALSE)=0,"Nom manquant",VLOOKUP(B290,Bibliotheques!$A$10:$B$59,2,FALSE)),"Clé inconnue"))</f>
        <v/>
      </c>
      <c r="D290" s="6" t="s">
        <v>29</v>
      </c>
      <c r="E290" s="7" t="str">
        <f t="shared" si="4"/>
        <v/>
      </c>
      <c r="F290" s="6" t="s">
        <v>29</v>
      </c>
      <c r="G290" s="6" t="s">
        <v>29</v>
      </c>
      <c r="H290" s="8" t="str">
        <f>IF(A290="","",Bibliotheques!$B$5&amp;IF(RIGHT(Bibliotheques!$B$5,1)="/","","/")&amp;SUBSTITUTE(A290," ","%20"))</f>
        <v/>
      </c>
      <c r="I290" s="6" t="s">
        <v>29</v>
      </c>
      <c r="J290" s="6" t="s">
        <v>29</v>
      </c>
    </row>
    <row r="291" spans="1:10" ht="33.950000000000003" customHeight="1">
      <c r="A291" s="6" t="s">
        <v>29</v>
      </c>
      <c r="B291" s="6" t="s">
        <v>29</v>
      </c>
      <c r="C291" s="7" t="str">
        <f>IF(A291="","",IFERROR(IF(VLOOKUP(B291,Bibliotheques!$A$10:$B$59,2,FALSE)=0,"Nom manquant",VLOOKUP(B291,Bibliotheques!$A$10:$B$59,2,FALSE)),"Clé inconnue"))</f>
        <v/>
      </c>
      <c r="D291" s="6" t="s">
        <v>29</v>
      </c>
      <c r="E291" s="7" t="str">
        <f t="shared" si="4"/>
        <v/>
      </c>
      <c r="F291" s="6" t="s">
        <v>29</v>
      </c>
      <c r="G291" s="6" t="s">
        <v>29</v>
      </c>
      <c r="H291" s="8" t="str">
        <f>IF(A291="","",Bibliotheques!$B$5&amp;IF(RIGHT(Bibliotheques!$B$5,1)="/","","/")&amp;SUBSTITUTE(A291," ","%20"))</f>
        <v/>
      </c>
      <c r="I291" s="6" t="s">
        <v>29</v>
      </c>
      <c r="J291" s="6" t="s">
        <v>29</v>
      </c>
    </row>
    <row r="292" spans="1:10" ht="33.950000000000003" customHeight="1">
      <c r="A292" s="6" t="s">
        <v>29</v>
      </c>
      <c r="B292" s="6" t="s">
        <v>29</v>
      </c>
      <c r="C292" s="7" t="str">
        <f>IF(A292="","",IFERROR(IF(VLOOKUP(B292,Bibliotheques!$A$10:$B$59,2,FALSE)=0,"Nom manquant",VLOOKUP(B292,Bibliotheques!$A$10:$B$59,2,FALSE)),"Clé inconnue"))</f>
        <v/>
      </c>
      <c r="D292" s="6" t="s">
        <v>29</v>
      </c>
      <c r="E292" s="7" t="str">
        <f t="shared" si="4"/>
        <v/>
      </c>
      <c r="F292" s="6" t="s">
        <v>29</v>
      </c>
      <c r="G292" s="6" t="s">
        <v>29</v>
      </c>
      <c r="H292" s="8" t="str">
        <f>IF(A292="","",Bibliotheques!$B$5&amp;IF(RIGHT(Bibliotheques!$B$5,1)="/","","/")&amp;SUBSTITUTE(A292," ","%20"))</f>
        <v/>
      </c>
      <c r="I292" s="6" t="s">
        <v>29</v>
      </c>
      <c r="J292" s="6" t="s">
        <v>29</v>
      </c>
    </row>
    <row r="293" spans="1:10" ht="33.950000000000003" customHeight="1">
      <c r="A293" s="6" t="s">
        <v>29</v>
      </c>
      <c r="B293" s="6" t="s">
        <v>29</v>
      </c>
      <c r="C293" s="7" t="str">
        <f>IF(A293="","",IFERROR(IF(VLOOKUP(B293,Bibliotheques!$A$10:$B$59,2,FALSE)=0,"Nom manquant",VLOOKUP(B293,Bibliotheques!$A$10:$B$59,2,FALSE)),"Clé inconnue"))</f>
        <v/>
      </c>
      <c r="D293" s="6" t="s">
        <v>29</v>
      </c>
      <c r="E293" s="7" t="str">
        <f t="shared" si="4"/>
        <v/>
      </c>
      <c r="F293" s="6" t="s">
        <v>29</v>
      </c>
      <c r="G293" s="6" t="s">
        <v>29</v>
      </c>
      <c r="H293" s="8" t="str">
        <f>IF(A293="","",Bibliotheques!$B$5&amp;IF(RIGHT(Bibliotheques!$B$5,1)="/","","/")&amp;SUBSTITUTE(A293," ","%20"))</f>
        <v/>
      </c>
      <c r="I293" s="6" t="s">
        <v>29</v>
      </c>
      <c r="J293" s="6" t="s">
        <v>29</v>
      </c>
    </row>
    <row r="294" spans="1:10" ht="33.950000000000003" customHeight="1">
      <c r="A294" s="6" t="s">
        <v>29</v>
      </c>
      <c r="B294" s="6" t="s">
        <v>29</v>
      </c>
      <c r="C294" s="7" t="str">
        <f>IF(A294="","",IFERROR(IF(VLOOKUP(B294,Bibliotheques!$A$10:$B$59,2,FALSE)=0,"Nom manquant",VLOOKUP(B294,Bibliotheques!$A$10:$B$59,2,FALSE)),"Clé inconnue"))</f>
        <v/>
      </c>
      <c r="D294" s="6" t="s">
        <v>29</v>
      </c>
      <c r="E294" s="7" t="str">
        <f t="shared" si="4"/>
        <v/>
      </c>
      <c r="F294" s="6" t="s">
        <v>29</v>
      </c>
      <c r="G294" s="6" t="s">
        <v>29</v>
      </c>
      <c r="H294" s="8" t="str">
        <f>IF(A294="","",Bibliotheques!$B$5&amp;IF(RIGHT(Bibliotheques!$B$5,1)="/","","/")&amp;SUBSTITUTE(A294," ","%20"))</f>
        <v/>
      </c>
      <c r="I294" s="6" t="s">
        <v>29</v>
      </c>
      <c r="J294" s="6" t="s">
        <v>29</v>
      </c>
    </row>
    <row r="295" spans="1:10" ht="33.950000000000003" customHeight="1">
      <c r="A295" s="6" t="s">
        <v>29</v>
      </c>
      <c r="B295" s="6" t="s">
        <v>29</v>
      </c>
      <c r="C295" s="7" t="str">
        <f>IF(A295="","",IFERROR(IF(VLOOKUP(B295,Bibliotheques!$A$10:$B$59,2,FALSE)=0,"Nom manquant",VLOOKUP(B295,Bibliotheques!$A$10:$B$59,2,FALSE)),"Clé inconnue"))</f>
        <v/>
      </c>
      <c r="D295" s="6" t="s">
        <v>29</v>
      </c>
      <c r="E295" s="7" t="str">
        <f t="shared" si="4"/>
        <v/>
      </c>
      <c r="F295" s="6" t="s">
        <v>29</v>
      </c>
      <c r="G295" s="6" t="s">
        <v>29</v>
      </c>
      <c r="H295" s="8" t="str">
        <f>IF(A295="","",Bibliotheques!$B$5&amp;IF(RIGHT(Bibliotheques!$B$5,1)="/","","/")&amp;SUBSTITUTE(A295," ","%20"))</f>
        <v/>
      </c>
      <c r="I295" s="6" t="s">
        <v>29</v>
      </c>
      <c r="J295" s="6" t="s">
        <v>29</v>
      </c>
    </row>
    <row r="296" spans="1:10" ht="33.950000000000003" customHeight="1">
      <c r="A296" s="6" t="s">
        <v>29</v>
      </c>
      <c r="B296" s="6" t="s">
        <v>29</v>
      </c>
      <c r="C296" s="7" t="str">
        <f>IF(A296="","",IFERROR(IF(VLOOKUP(B296,Bibliotheques!$A$10:$B$59,2,FALSE)=0,"Nom manquant",VLOOKUP(B296,Bibliotheques!$A$10:$B$59,2,FALSE)),"Clé inconnue"))</f>
        <v/>
      </c>
      <c r="D296" s="6" t="s">
        <v>29</v>
      </c>
      <c r="E296" s="7" t="str">
        <f t="shared" si="4"/>
        <v/>
      </c>
      <c r="F296" s="6" t="s">
        <v>29</v>
      </c>
      <c r="G296" s="6" t="s">
        <v>29</v>
      </c>
      <c r="H296" s="8" t="str">
        <f>IF(A296="","",Bibliotheques!$B$5&amp;IF(RIGHT(Bibliotheques!$B$5,1)="/","","/")&amp;SUBSTITUTE(A296," ","%20"))</f>
        <v/>
      </c>
      <c r="I296" s="6" t="s">
        <v>29</v>
      </c>
      <c r="J296" s="6" t="s">
        <v>29</v>
      </c>
    </row>
    <row r="297" spans="1:10" ht="33.950000000000003" customHeight="1">
      <c r="A297" s="6" t="s">
        <v>29</v>
      </c>
      <c r="B297" s="6" t="s">
        <v>29</v>
      </c>
      <c r="C297" s="7" t="str">
        <f>IF(A297="","",IFERROR(IF(VLOOKUP(B297,Bibliotheques!$A$10:$B$59,2,FALSE)=0,"Nom manquant",VLOOKUP(B297,Bibliotheques!$A$10:$B$59,2,FALSE)),"Clé inconnue"))</f>
        <v/>
      </c>
      <c r="D297" s="6" t="s">
        <v>29</v>
      </c>
      <c r="E297" s="7" t="str">
        <f t="shared" si="4"/>
        <v/>
      </c>
      <c r="F297" s="6" t="s">
        <v>29</v>
      </c>
      <c r="G297" s="6" t="s">
        <v>29</v>
      </c>
      <c r="H297" s="8" t="str">
        <f>IF(A297="","",Bibliotheques!$B$5&amp;IF(RIGHT(Bibliotheques!$B$5,1)="/","","/")&amp;SUBSTITUTE(A297," ","%20"))</f>
        <v/>
      </c>
      <c r="I297" s="6" t="s">
        <v>29</v>
      </c>
      <c r="J297" s="6" t="s">
        <v>29</v>
      </c>
    </row>
    <row r="298" spans="1:10" ht="33.950000000000003" customHeight="1">
      <c r="A298" s="6" t="s">
        <v>29</v>
      </c>
      <c r="B298" s="6" t="s">
        <v>29</v>
      </c>
      <c r="C298" s="7" t="str">
        <f>IF(A298="","",IFERROR(IF(VLOOKUP(B298,Bibliotheques!$A$10:$B$59,2,FALSE)=0,"Nom manquant",VLOOKUP(B298,Bibliotheques!$A$10:$B$59,2,FALSE)),"Clé inconnue"))</f>
        <v/>
      </c>
      <c r="D298" s="6" t="s">
        <v>29</v>
      </c>
      <c r="E298" s="7" t="str">
        <f t="shared" si="4"/>
        <v/>
      </c>
      <c r="F298" s="6" t="s">
        <v>29</v>
      </c>
      <c r="G298" s="6" t="s">
        <v>29</v>
      </c>
      <c r="H298" s="8" t="str">
        <f>IF(A298="","",Bibliotheques!$B$5&amp;IF(RIGHT(Bibliotheques!$B$5,1)="/","","/")&amp;SUBSTITUTE(A298," ","%20"))</f>
        <v/>
      </c>
      <c r="I298" s="6" t="s">
        <v>29</v>
      </c>
      <c r="J298" s="6" t="s">
        <v>29</v>
      </c>
    </row>
    <row r="299" spans="1:10" ht="33.950000000000003" customHeight="1">
      <c r="A299" s="6" t="s">
        <v>29</v>
      </c>
      <c r="B299" s="6" t="s">
        <v>29</v>
      </c>
      <c r="C299" s="7" t="str">
        <f>IF(A299="","",IFERROR(IF(VLOOKUP(B299,Bibliotheques!$A$10:$B$59,2,FALSE)=0,"Nom manquant",VLOOKUP(B299,Bibliotheques!$A$10:$B$59,2,FALSE)),"Clé inconnue"))</f>
        <v/>
      </c>
      <c r="D299" s="6" t="s">
        <v>29</v>
      </c>
      <c r="E299" s="7" t="str">
        <f t="shared" si="4"/>
        <v/>
      </c>
      <c r="F299" s="6" t="s">
        <v>29</v>
      </c>
      <c r="G299" s="6" t="s">
        <v>29</v>
      </c>
      <c r="H299" s="8" t="str">
        <f>IF(A299="","",Bibliotheques!$B$5&amp;IF(RIGHT(Bibliotheques!$B$5,1)="/","","/")&amp;SUBSTITUTE(A299," ","%20"))</f>
        <v/>
      </c>
      <c r="I299" s="6" t="s">
        <v>29</v>
      </c>
      <c r="J299" s="6" t="s">
        <v>29</v>
      </c>
    </row>
    <row r="300" spans="1:10" ht="33.950000000000003" customHeight="1">
      <c r="A300" s="6" t="s">
        <v>29</v>
      </c>
      <c r="B300" s="6" t="s">
        <v>29</v>
      </c>
      <c r="C300" s="7" t="str">
        <f>IF(A300="","",IFERROR(IF(VLOOKUP(B300,Bibliotheques!$A$10:$B$59,2,FALSE)=0,"Nom manquant",VLOOKUP(B300,Bibliotheques!$A$10:$B$59,2,FALSE)),"Clé inconnue"))</f>
        <v/>
      </c>
      <c r="D300" s="6" t="s">
        <v>29</v>
      </c>
      <c r="E300" s="7" t="str">
        <f t="shared" si="4"/>
        <v/>
      </c>
      <c r="F300" s="6" t="s">
        <v>29</v>
      </c>
      <c r="G300" s="6" t="s">
        <v>29</v>
      </c>
      <c r="H300" s="8" t="str">
        <f>IF(A300="","",Bibliotheques!$B$5&amp;IF(RIGHT(Bibliotheques!$B$5,1)="/","","/")&amp;SUBSTITUTE(A300," ","%20"))</f>
        <v/>
      </c>
      <c r="I300" s="6" t="s">
        <v>29</v>
      </c>
      <c r="J300" s="6" t="s">
        <v>29</v>
      </c>
    </row>
    <row r="301" spans="1:10" ht="33.950000000000003" customHeight="1">
      <c r="A301" s="6" t="s">
        <v>29</v>
      </c>
      <c r="B301" s="6" t="s">
        <v>29</v>
      </c>
      <c r="C301" s="7" t="str">
        <f>IF(A301="","",IFERROR(IF(VLOOKUP(B301,Bibliotheques!$A$10:$B$59,2,FALSE)=0,"Nom manquant",VLOOKUP(B301,Bibliotheques!$A$10:$B$59,2,FALSE)),"Clé inconnue"))</f>
        <v/>
      </c>
      <c r="D301" s="6" t="s">
        <v>29</v>
      </c>
      <c r="E301" s="7" t="str">
        <f t="shared" si="4"/>
        <v/>
      </c>
      <c r="F301" s="6" t="s">
        <v>29</v>
      </c>
      <c r="G301" s="6" t="s">
        <v>29</v>
      </c>
      <c r="H301" s="8" t="str">
        <f>IF(A301="","",Bibliotheques!$B$5&amp;IF(RIGHT(Bibliotheques!$B$5,1)="/","","/")&amp;SUBSTITUTE(A301," ","%20"))</f>
        <v/>
      </c>
      <c r="I301" s="6" t="s">
        <v>29</v>
      </c>
      <c r="J301" s="6" t="s">
        <v>29</v>
      </c>
    </row>
    <row r="302" spans="1:10" ht="33.950000000000003" customHeight="1">
      <c r="A302" s="6" t="s">
        <v>29</v>
      </c>
      <c r="B302" s="6" t="s">
        <v>29</v>
      </c>
      <c r="C302" s="7" t="str">
        <f>IF(A302="","",IFERROR(IF(VLOOKUP(B302,Bibliotheques!$A$10:$B$59,2,FALSE)=0,"Nom manquant",VLOOKUP(B302,Bibliotheques!$A$10:$B$59,2,FALSE)),"Clé inconnue"))</f>
        <v/>
      </c>
      <c r="D302" s="6" t="s">
        <v>29</v>
      </c>
      <c r="E302" s="7" t="str">
        <f t="shared" si="4"/>
        <v/>
      </c>
      <c r="F302" s="6" t="s">
        <v>29</v>
      </c>
      <c r="G302" s="6" t="s">
        <v>29</v>
      </c>
      <c r="H302" s="8" t="str">
        <f>IF(A302="","",Bibliotheques!$B$5&amp;IF(RIGHT(Bibliotheques!$B$5,1)="/","","/")&amp;SUBSTITUTE(A302," ","%20"))</f>
        <v/>
      </c>
      <c r="I302" s="6" t="s">
        <v>29</v>
      </c>
      <c r="J302" s="6" t="s">
        <v>29</v>
      </c>
    </row>
    <row r="303" spans="1:10" ht="33.950000000000003" customHeight="1">
      <c r="A303" s="6" t="s">
        <v>29</v>
      </c>
      <c r="B303" s="6" t="s">
        <v>29</v>
      </c>
      <c r="C303" s="7" t="str">
        <f>IF(A303="","",IFERROR(IF(VLOOKUP(B303,Bibliotheques!$A$10:$B$59,2,FALSE)=0,"Nom manquant",VLOOKUP(B303,Bibliotheques!$A$10:$B$59,2,FALSE)),"Clé inconnue"))</f>
        <v/>
      </c>
      <c r="D303" s="6" t="s">
        <v>29</v>
      </c>
      <c r="E303" s="7" t="str">
        <f t="shared" si="4"/>
        <v/>
      </c>
      <c r="F303" s="6" t="s">
        <v>29</v>
      </c>
      <c r="G303" s="6" t="s">
        <v>29</v>
      </c>
      <c r="H303" s="8" t="str">
        <f>IF(A303="","",Bibliotheques!$B$5&amp;IF(RIGHT(Bibliotheques!$B$5,1)="/","","/")&amp;SUBSTITUTE(A303," ","%20"))</f>
        <v/>
      </c>
      <c r="I303" s="6" t="s">
        <v>29</v>
      </c>
      <c r="J303" s="6" t="s">
        <v>29</v>
      </c>
    </row>
    <row r="304" spans="1:10" ht="33.950000000000003" customHeight="1">
      <c r="A304" s="6" t="s">
        <v>29</v>
      </c>
      <c r="B304" s="6" t="s">
        <v>29</v>
      </c>
      <c r="C304" s="7" t="str">
        <f>IF(A304="","",IFERROR(IF(VLOOKUP(B304,Bibliotheques!$A$10:$B$59,2,FALSE)=0,"Nom manquant",VLOOKUP(B304,Bibliotheques!$A$10:$B$59,2,FALSE)),"Clé inconnue"))</f>
        <v/>
      </c>
      <c r="D304" s="6" t="s">
        <v>29</v>
      </c>
      <c r="E304" s="7" t="str">
        <f t="shared" si="4"/>
        <v/>
      </c>
      <c r="F304" s="6" t="s">
        <v>29</v>
      </c>
      <c r="G304" s="6" t="s">
        <v>29</v>
      </c>
      <c r="H304" s="8" t="str">
        <f>IF(A304="","",Bibliotheques!$B$5&amp;IF(RIGHT(Bibliotheques!$B$5,1)="/","","/")&amp;SUBSTITUTE(A304," ","%20"))</f>
        <v/>
      </c>
      <c r="I304" s="6" t="s">
        <v>29</v>
      </c>
      <c r="J304" s="6" t="s">
        <v>29</v>
      </c>
    </row>
    <row r="305" spans="1:10" ht="33.950000000000003" customHeight="1">
      <c r="A305" s="6" t="s">
        <v>29</v>
      </c>
      <c r="B305" s="6" t="s">
        <v>29</v>
      </c>
      <c r="C305" s="7" t="str">
        <f>IF(A305="","",IFERROR(IF(VLOOKUP(B305,Bibliotheques!$A$10:$B$59,2,FALSE)=0,"Nom manquant",VLOOKUP(B305,Bibliotheques!$A$10:$B$59,2,FALSE)),"Clé inconnue"))</f>
        <v/>
      </c>
      <c r="D305" s="6" t="s">
        <v>29</v>
      </c>
      <c r="E305" s="7" t="str">
        <f t="shared" si="4"/>
        <v/>
      </c>
      <c r="F305" s="6" t="s">
        <v>29</v>
      </c>
      <c r="G305" s="6" t="s">
        <v>29</v>
      </c>
      <c r="H305" s="8" t="str">
        <f>IF(A305="","",Bibliotheques!$B$5&amp;IF(RIGHT(Bibliotheques!$B$5,1)="/","","/")&amp;SUBSTITUTE(A305," ","%20"))</f>
        <v/>
      </c>
      <c r="I305" s="6" t="s">
        <v>29</v>
      </c>
      <c r="J305" s="6" t="s">
        <v>29</v>
      </c>
    </row>
    <row r="306" spans="1:10" ht="33.950000000000003" customHeight="1">
      <c r="A306" s="6" t="s">
        <v>29</v>
      </c>
      <c r="B306" s="6" t="s">
        <v>29</v>
      </c>
      <c r="C306" s="7" t="str">
        <f>IF(A306="","",IFERROR(IF(VLOOKUP(B306,Bibliotheques!$A$10:$B$59,2,FALSE)=0,"Nom manquant",VLOOKUP(B306,Bibliotheques!$A$10:$B$59,2,FALSE)),"Clé inconnue"))</f>
        <v/>
      </c>
      <c r="D306" s="6" t="s">
        <v>29</v>
      </c>
      <c r="E306" s="7" t="str">
        <f t="shared" si="4"/>
        <v/>
      </c>
      <c r="F306" s="6" t="s">
        <v>29</v>
      </c>
      <c r="G306" s="6" t="s">
        <v>29</v>
      </c>
      <c r="H306" s="8" t="str">
        <f>IF(A306="","",Bibliotheques!$B$5&amp;IF(RIGHT(Bibliotheques!$B$5,1)="/","","/")&amp;SUBSTITUTE(A306," ","%20"))</f>
        <v/>
      </c>
      <c r="I306" s="6" t="s">
        <v>29</v>
      </c>
      <c r="J306" s="6" t="s">
        <v>29</v>
      </c>
    </row>
    <row r="307" spans="1:10" ht="33.950000000000003" customHeight="1">
      <c r="A307" s="6" t="s">
        <v>29</v>
      </c>
      <c r="B307" s="6" t="s">
        <v>29</v>
      </c>
      <c r="C307" s="7" t="str">
        <f>IF(A307="","",IFERROR(IF(VLOOKUP(B307,Bibliotheques!$A$10:$B$59,2,FALSE)=0,"Nom manquant",VLOOKUP(B307,Bibliotheques!$A$10:$B$59,2,FALSE)),"Clé inconnue"))</f>
        <v/>
      </c>
      <c r="D307" s="6" t="s">
        <v>29</v>
      </c>
      <c r="E307" s="7" t="str">
        <f t="shared" si="4"/>
        <v/>
      </c>
      <c r="F307" s="6" t="s">
        <v>29</v>
      </c>
      <c r="G307" s="6" t="s">
        <v>29</v>
      </c>
      <c r="H307" s="8" t="str">
        <f>IF(A307="","",Bibliotheques!$B$5&amp;IF(RIGHT(Bibliotheques!$B$5,1)="/","","/")&amp;SUBSTITUTE(A307," ","%20"))</f>
        <v/>
      </c>
      <c r="I307" s="6" t="s">
        <v>29</v>
      </c>
      <c r="J307" s="6" t="s">
        <v>29</v>
      </c>
    </row>
    <row r="308" spans="1:10" ht="33.950000000000003" customHeight="1">
      <c r="A308" s="6" t="s">
        <v>29</v>
      </c>
      <c r="B308" s="6" t="s">
        <v>29</v>
      </c>
      <c r="C308" s="7" t="str">
        <f>IF(A308="","",IFERROR(IF(VLOOKUP(B308,Bibliotheques!$A$10:$B$59,2,FALSE)=0,"Nom manquant",VLOOKUP(B308,Bibliotheques!$A$10:$B$59,2,FALSE)),"Clé inconnue"))</f>
        <v/>
      </c>
      <c r="D308" s="6" t="s">
        <v>29</v>
      </c>
      <c r="E308" s="7" t="str">
        <f t="shared" si="4"/>
        <v/>
      </c>
      <c r="F308" s="6" t="s">
        <v>29</v>
      </c>
      <c r="G308" s="6" t="s">
        <v>29</v>
      </c>
      <c r="H308" s="8" t="str">
        <f>IF(A308="","",Bibliotheques!$B$5&amp;IF(RIGHT(Bibliotheques!$B$5,1)="/","","/")&amp;SUBSTITUTE(A308," ","%20"))</f>
        <v/>
      </c>
      <c r="I308" s="6" t="s">
        <v>29</v>
      </c>
      <c r="J308" s="6" t="s">
        <v>29</v>
      </c>
    </row>
    <row r="309" spans="1:10" ht="33.950000000000003" customHeight="1">
      <c r="A309" s="6" t="s">
        <v>29</v>
      </c>
      <c r="B309" s="6" t="s">
        <v>29</v>
      </c>
      <c r="C309" s="7" t="str">
        <f>IF(A309="","",IFERROR(IF(VLOOKUP(B309,Bibliotheques!$A$10:$B$59,2,FALSE)=0,"Nom manquant",VLOOKUP(B309,Bibliotheques!$A$10:$B$59,2,FALSE)),"Clé inconnue"))</f>
        <v/>
      </c>
      <c r="D309" s="6" t="s">
        <v>29</v>
      </c>
      <c r="E309" s="7" t="str">
        <f t="shared" si="4"/>
        <v/>
      </c>
      <c r="F309" s="6" t="s">
        <v>29</v>
      </c>
      <c r="G309" s="6" t="s">
        <v>29</v>
      </c>
      <c r="H309" s="8" t="str">
        <f>IF(A309="","",Bibliotheques!$B$5&amp;IF(RIGHT(Bibliotheques!$B$5,1)="/","","/")&amp;SUBSTITUTE(A309," ","%20"))</f>
        <v/>
      </c>
      <c r="I309" s="6" t="s">
        <v>29</v>
      </c>
      <c r="J309" s="6" t="s">
        <v>29</v>
      </c>
    </row>
    <row r="310" spans="1:10" ht="33.950000000000003" customHeight="1">
      <c r="A310" s="6" t="s">
        <v>29</v>
      </c>
      <c r="B310" s="6" t="s">
        <v>29</v>
      </c>
      <c r="C310" s="7" t="str">
        <f>IF(A310="","",IFERROR(IF(VLOOKUP(B310,Bibliotheques!$A$10:$B$59,2,FALSE)=0,"Nom manquant",VLOOKUP(B310,Bibliotheques!$A$10:$B$59,2,FALSE)),"Clé inconnue"))</f>
        <v/>
      </c>
      <c r="D310" s="6" t="s">
        <v>29</v>
      </c>
      <c r="E310" s="7" t="str">
        <f t="shared" si="4"/>
        <v/>
      </c>
      <c r="F310" s="6" t="s">
        <v>29</v>
      </c>
      <c r="G310" s="6" t="s">
        <v>29</v>
      </c>
      <c r="H310" s="8" t="str">
        <f>IF(A310="","",Bibliotheques!$B$5&amp;IF(RIGHT(Bibliotheques!$B$5,1)="/","","/")&amp;SUBSTITUTE(A310," ","%20"))</f>
        <v/>
      </c>
      <c r="I310" s="6" t="s">
        <v>29</v>
      </c>
      <c r="J310" s="6" t="s">
        <v>29</v>
      </c>
    </row>
    <row r="311" spans="1:10" ht="33.950000000000003" customHeight="1">
      <c r="A311" s="6" t="s">
        <v>29</v>
      </c>
      <c r="B311" s="6" t="s">
        <v>29</v>
      </c>
      <c r="C311" s="7" t="str">
        <f>IF(A311="","",IFERROR(IF(VLOOKUP(B311,Bibliotheques!$A$10:$B$59,2,FALSE)=0,"Nom manquant",VLOOKUP(B311,Bibliotheques!$A$10:$B$59,2,FALSE)),"Clé inconnue"))</f>
        <v/>
      </c>
      <c r="D311" s="6" t="s">
        <v>29</v>
      </c>
      <c r="E311" s="7" t="str">
        <f t="shared" si="4"/>
        <v/>
      </c>
      <c r="F311" s="6" t="s">
        <v>29</v>
      </c>
      <c r="G311" s="6" t="s">
        <v>29</v>
      </c>
      <c r="H311" s="8" t="str">
        <f>IF(A311="","",Bibliotheques!$B$5&amp;IF(RIGHT(Bibliotheques!$B$5,1)="/","","/")&amp;SUBSTITUTE(A311," ","%20"))</f>
        <v/>
      </c>
      <c r="I311" s="6" t="s">
        <v>29</v>
      </c>
      <c r="J311" s="6" t="s">
        <v>29</v>
      </c>
    </row>
    <row r="312" spans="1:10" ht="33.950000000000003" customHeight="1">
      <c r="A312" s="6" t="s">
        <v>29</v>
      </c>
      <c r="B312" s="6" t="s">
        <v>29</v>
      </c>
      <c r="C312" s="7" t="str">
        <f>IF(A312="","",IFERROR(IF(VLOOKUP(B312,Bibliotheques!$A$10:$B$59,2,FALSE)=0,"Nom manquant",VLOOKUP(B312,Bibliotheques!$A$10:$B$59,2,FALSE)),"Clé inconnue"))</f>
        <v/>
      </c>
      <c r="D312" s="6" t="s">
        <v>29</v>
      </c>
      <c r="E312" s="7" t="str">
        <f t="shared" si="4"/>
        <v/>
      </c>
      <c r="F312" s="6" t="s">
        <v>29</v>
      </c>
      <c r="G312" s="6" t="s">
        <v>29</v>
      </c>
      <c r="H312" s="8" t="str">
        <f>IF(A312="","",Bibliotheques!$B$5&amp;IF(RIGHT(Bibliotheques!$B$5,1)="/","","/")&amp;SUBSTITUTE(A312," ","%20"))</f>
        <v/>
      </c>
      <c r="I312" s="6" t="s">
        <v>29</v>
      </c>
      <c r="J312" s="6" t="s">
        <v>29</v>
      </c>
    </row>
    <row r="313" spans="1:10" ht="33.950000000000003" customHeight="1">
      <c r="A313" s="6" t="s">
        <v>29</v>
      </c>
      <c r="B313" s="6" t="s">
        <v>29</v>
      </c>
      <c r="C313" s="7" t="str">
        <f>IF(A313="","",IFERROR(IF(VLOOKUP(B313,Bibliotheques!$A$10:$B$59,2,FALSE)=0,"Nom manquant",VLOOKUP(B313,Bibliotheques!$A$10:$B$59,2,FALSE)),"Clé inconnue"))</f>
        <v/>
      </c>
      <c r="D313" s="6" t="s">
        <v>29</v>
      </c>
      <c r="E313" s="7" t="str">
        <f t="shared" si="4"/>
        <v/>
      </c>
      <c r="F313" s="6" t="s">
        <v>29</v>
      </c>
      <c r="G313" s="6" t="s">
        <v>29</v>
      </c>
      <c r="H313" s="8" t="str">
        <f>IF(A313="","",Bibliotheques!$B$5&amp;IF(RIGHT(Bibliotheques!$B$5,1)="/","","/")&amp;SUBSTITUTE(A313," ","%20"))</f>
        <v/>
      </c>
      <c r="I313" s="6" t="s">
        <v>29</v>
      </c>
      <c r="J313" s="6" t="s">
        <v>29</v>
      </c>
    </row>
    <row r="314" spans="1:10" ht="33.950000000000003" customHeight="1">
      <c r="A314" s="6" t="s">
        <v>29</v>
      </c>
      <c r="B314" s="6" t="s">
        <v>29</v>
      </c>
      <c r="C314" s="7" t="str">
        <f>IF(A314="","",IFERROR(IF(VLOOKUP(B314,Bibliotheques!$A$10:$B$59,2,FALSE)=0,"Nom manquant",VLOOKUP(B314,Bibliotheques!$A$10:$B$59,2,FALSE)),"Clé inconnue"))</f>
        <v/>
      </c>
      <c r="D314" s="6" t="s">
        <v>29</v>
      </c>
      <c r="E314" s="7" t="str">
        <f t="shared" si="4"/>
        <v/>
      </c>
      <c r="F314" s="6" t="s">
        <v>29</v>
      </c>
      <c r="G314" s="6" t="s">
        <v>29</v>
      </c>
      <c r="H314" s="8" t="str">
        <f>IF(A314="","",Bibliotheques!$B$5&amp;IF(RIGHT(Bibliotheques!$B$5,1)="/","","/")&amp;SUBSTITUTE(A314," ","%20"))</f>
        <v/>
      </c>
      <c r="I314" s="6" t="s">
        <v>29</v>
      </c>
      <c r="J314" s="6" t="s">
        <v>29</v>
      </c>
    </row>
    <row r="315" spans="1:10" ht="33.950000000000003" customHeight="1">
      <c r="A315" s="6" t="s">
        <v>29</v>
      </c>
      <c r="B315" s="6" t="s">
        <v>29</v>
      </c>
      <c r="C315" s="7" t="str">
        <f>IF(A315="","",IFERROR(IF(VLOOKUP(B315,Bibliotheques!$A$10:$B$59,2,FALSE)=0,"Nom manquant",VLOOKUP(B315,Bibliotheques!$A$10:$B$59,2,FALSE)),"Clé inconnue"))</f>
        <v/>
      </c>
      <c r="D315" s="6" t="s">
        <v>29</v>
      </c>
      <c r="E315" s="7" t="str">
        <f t="shared" si="4"/>
        <v/>
      </c>
      <c r="F315" s="6" t="s">
        <v>29</v>
      </c>
      <c r="G315" s="6" t="s">
        <v>29</v>
      </c>
      <c r="H315" s="8" t="str">
        <f>IF(A315="","",Bibliotheques!$B$5&amp;IF(RIGHT(Bibliotheques!$B$5,1)="/","","/")&amp;SUBSTITUTE(A315," ","%20"))</f>
        <v/>
      </c>
      <c r="I315" s="6" t="s">
        <v>29</v>
      </c>
      <c r="J315" s="6" t="s">
        <v>29</v>
      </c>
    </row>
    <row r="316" spans="1:10" ht="33.950000000000003" customHeight="1">
      <c r="A316" s="6" t="s">
        <v>29</v>
      </c>
      <c r="B316" s="6" t="s">
        <v>29</v>
      </c>
      <c r="C316" s="7" t="str">
        <f>IF(A316="","",IFERROR(IF(VLOOKUP(B316,Bibliotheques!$A$10:$B$59,2,FALSE)=0,"Nom manquant",VLOOKUP(B316,Bibliotheques!$A$10:$B$59,2,FALSE)),"Clé inconnue"))</f>
        <v/>
      </c>
      <c r="D316" s="6" t="s">
        <v>29</v>
      </c>
      <c r="E316" s="7" t="str">
        <f t="shared" si="4"/>
        <v/>
      </c>
      <c r="F316" s="6" t="s">
        <v>29</v>
      </c>
      <c r="G316" s="6" t="s">
        <v>29</v>
      </c>
      <c r="H316" s="8" t="str">
        <f>IF(A316="","",Bibliotheques!$B$5&amp;IF(RIGHT(Bibliotheques!$B$5,1)="/","","/")&amp;SUBSTITUTE(A316," ","%20"))</f>
        <v/>
      </c>
      <c r="I316" s="6" t="s">
        <v>29</v>
      </c>
      <c r="J316" s="6" t="s">
        <v>29</v>
      </c>
    </row>
    <row r="317" spans="1:10" ht="33.950000000000003" customHeight="1">
      <c r="A317" s="6" t="s">
        <v>29</v>
      </c>
      <c r="B317" s="6" t="s">
        <v>29</v>
      </c>
      <c r="C317" s="7" t="str">
        <f>IF(A317="","",IFERROR(IF(VLOOKUP(B317,Bibliotheques!$A$10:$B$59,2,FALSE)=0,"Nom manquant",VLOOKUP(B317,Bibliotheques!$A$10:$B$59,2,FALSE)),"Clé inconnue"))</f>
        <v/>
      </c>
      <c r="D317" s="6" t="s">
        <v>29</v>
      </c>
      <c r="E317" s="7" t="str">
        <f t="shared" si="4"/>
        <v/>
      </c>
      <c r="F317" s="6" t="s">
        <v>29</v>
      </c>
      <c r="G317" s="6" t="s">
        <v>29</v>
      </c>
      <c r="H317" s="8" t="str">
        <f>IF(A317="","",Bibliotheques!$B$5&amp;IF(RIGHT(Bibliotheques!$B$5,1)="/","","/")&amp;SUBSTITUTE(A317," ","%20"))</f>
        <v/>
      </c>
      <c r="I317" s="6" t="s">
        <v>29</v>
      </c>
      <c r="J317" s="6" t="s">
        <v>29</v>
      </c>
    </row>
    <row r="318" spans="1:10" ht="33.950000000000003" customHeight="1">
      <c r="A318" s="6" t="s">
        <v>29</v>
      </c>
      <c r="B318" s="6" t="s">
        <v>29</v>
      </c>
      <c r="C318" s="7" t="str">
        <f>IF(A318="","",IFERROR(IF(VLOOKUP(B318,Bibliotheques!$A$10:$B$59,2,FALSE)=0,"Nom manquant",VLOOKUP(B318,Bibliotheques!$A$10:$B$59,2,FALSE)),"Clé inconnue"))</f>
        <v/>
      </c>
      <c r="D318" s="6" t="s">
        <v>29</v>
      </c>
      <c r="E318" s="7" t="str">
        <f t="shared" si="4"/>
        <v/>
      </c>
      <c r="F318" s="6" t="s">
        <v>29</v>
      </c>
      <c r="G318" s="6" t="s">
        <v>29</v>
      </c>
      <c r="H318" s="8" t="str">
        <f>IF(A318="","",Bibliotheques!$B$5&amp;IF(RIGHT(Bibliotheques!$B$5,1)="/","","/")&amp;SUBSTITUTE(A318," ","%20"))</f>
        <v/>
      </c>
      <c r="I318" s="6" t="s">
        <v>29</v>
      </c>
      <c r="J318" s="6" t="s">
        <v>29</v>
      </c>
    </row>
    <row r="319" spans="1:10" ht="33.950000000000003" customHeight="1">
      <c r="A319" s="6" t="s">
        <v>29</v>
      </c>
      <c r="B319" s="6" t="s">
        <v>29</v>
      </c>
      <c r="C319" s="7" t="str">
        <f>IF(A319="","",IFERROR(IF(VLOOKUP(B319,Bibliotheques!$A$10:$B$59,2,FALSE)=0,"Nom manquant",VLOOKUP(B319,Bibliotheques!$A$10:$B$59,2,FALSE)),"Clé inconnue"))</f>
        <v/>
      </c>
      <c r="D319" s="6" t="s">
        <v>29</v>
      </c>
      <c r="E319" s="7" t="str">
        <f t="shared" si="4"/>
        <v/>
      </c>
      <c r="F319" s="6" t="s">
        <v>29</v>
      </c>
      <c r="G319" s="6" t="s">
        <v>29</v>
      </c>
      <c r="H319" s="8" t="str">
        <f>IF(A319="","",Bibliotheques!$B$5&amp;IF(RIGHT(Bibliotheques!$B$5,1)="/","","/")&amp;SUBSTITUTE(A319," ","%20"))</f>
        <v/>
      </c>
      <c r="I319" s="6" t="s">
        <v>29</v>
      </c>
      <c r="J319" s="6" t="s">
        <v>29</v>
      </c>
    </row>
    <row r="320" spans="1:10" ht="33.950000000000003" customHeight="1">
      <c r="A320" s="6" t="s">
        <v>29</v>
      </c>
      <c r="B320" s="6" t="s">
        <v>29</v>
      </c>
      <c r="C320" s="7" t="str">
        <f>IF(A320="","",IFERROR(IF(VLOOKUP(B320,Bibliotheques!$A$10:$B$59,2,FALSE)=0,"Nom manquant",VLOOKUP(B320,Bibliotheques!$A$10:$B$59,2,FALSE)),"Clé inconnue"))</f>
        <v/>
      </c>
      <c r="D320" s="6" t="s">
        <v>29</v>
      </c>
      <c r="E320" s="7" t="str">
        <f t="shared" si="4"/>
        <v/>
      </c>
      <c r="F320" s="6" t="s">
        <v>29</v>
      </c>
      <c r="G320" s="6" t="s">
        <v>29</v>
      </c>
      <c r="H320" s="8" t="str">
        <f>IF(A320="","",Bibliotheques!$B$5&amp;IF(RIGHT(Bibliotheques!$B$5,1)="/","","/")&amp;SUBSTITUTE(A320," ","%20"))</f>
        <v/>
      </c>
      <c r="I320" s="6" t="s">
        <v>29</v>
      </c>
      <c r="J320" s="6" t="s">
        <v>29</v>
      </c>
    </row>
    <row r="321" spans="1:10" ht="33.950000000000003" customHeight="1">
      <c r="A321" s="6" t="s">
        <v>29</v>
      </c>
      <c r="B321" s="6" t="s">
        <v>29</v>
      </c>
      <c r="C321" s="7" t="str">
        <f>IF(A321="","",IFERROR(IF(VLOOKUP(B321,Bibliotheques!$A$10:$B$59,2,FALSE)=0,"Nom manquant",VLOOKUP(B321,Bibliotheques!$A$10:$B$59,2,FALSE)),"Clé inconnue"))</f>
        <v/>
      </c>
      <c r="D321" s="6" t="s">
        <v>29</v>
      </c>
      <c r="E321" s="7" t="str">
        <f t="shared" si="4"/>
        <v/>
      </c>
      <c r="F321" s="6" t="s">
        <v>29</v>
      </c>
      <c r="G321" s="6" t="s">
        <v>29</v>
      </c>
      <c r="H321" s="8" t="str">
        <f>IF(A321="","",Bibliotheques!$B$5&amp;IF(RIGHT(Bibliotheques!$B$5,1)="/","","/")&amp;SUBSTITUTE(A321," ","%20"))</f>
        <v/>
      </c>
      <c r="I321" s="6" t="s">
        <v>29</v>
      </c>
      <c r="J321" s="6" t="s">
        <v>29</v>
      </c>
    </row>
    <row r="322" spans="1:10" ht="33.950000000000003" customHeight="1">
      <c r="A322" s="6" t="s">
        <v>29</v>
      </c>
      <c r="B322" s="6" t="s">
        <v>29</v>
      </c>
      <c r="C322" s="7" t="str">
        <f>IF(A322="","",IFERROR(IF(VLOOKUP(B322,Bibliotheques!$A$10:$B$59,2,FALSE)=0,"Nom manquant",VLOOKUP(B322,Bibliotheques!$A$10:$B$59,2,FALSE)),"Clé inconnue"))</f>
        <v/>
      </c>
      <c r="D322" s="6" t="s">
        <v>29</v>
      </c>
      <c r="E322" s="7" t="str">
        <f t="shared" si="4"/>
        <v/>
      </c>
      <c r="F322" s="6" t="s">
        <v>29</v>
      </c>
      <c r="G322" s="6" t="s">
        <v>29</v>
      </c>
      <c r="H322" s="8" t="str">
        <f>IF(A322="","",Bibliotheques!$B$5&amp;IF(RIGHT(Bibliotheques!$B$5,1)="/","","/")&amp;SUBSTITUTE(A322," ","%20"))</f>
        <v/>
      </c>
      <c r="I322" s="6" t="s">
        <v>29</v>
      </c>
      <c r="J322" s="6" t="s">
        <v>29</v>
      </c>
    </row>
    <row r="323" spans="1:10" ht="33.950000000000003" customHeight="1">
      <c r="A323" s="6" t="s">
        <v>29</v>
      </c>
      <c r="B323" s="6" t="s">
        <v>29</v>
      </c>
      <c r="C323" s="7" t="str">
        <f>IF(A323="","",IFERROR(IF(VLOOKUP(B323,Bibliotheques!$A$10:$B$59,2,FALSE)=0,"Nom manquant",VLOOKUP(B323,Bibliotheques!$A$10:$B$59,2,FALSE)),"Clé inconnue"))</f>
        <v/>
      </c>
      <c r="D323" s="6" t="s">
        <v>29</v>
      </c>
      <c r="E323" s="7" t="str">
        <f t="shared" si="4"/>
        <v/>
      </c>
      <c r="F323" s="6" t="s">
        <v>29</v>
      </c>
      <c r="G323" s="6" t="s">
        <v>29</v>
      </c>
      <c r="H323" s="8" t="str">
        <f>IF(A323="","",Bibliotheques!$B$5&amp;IF(RIGHT(Bibliotheques!$B$5,1)="/","","/")&amp;SUBSTITUTE(A323," ","%20"))</f>
        <v/>
      </c>
      <c r="I323" s="6" t="s">
        <v>29</v>
      </c>
      <c r="J323" s="6" t="s">
        <v>29</v>
      </c>
    </row>
    <row r="324" spans="1:10" ht="33.950000000000003" customHeight="1">
      <c r="A324" s="6" t="s">
        <v>29</v>
      </c>
      <c r="B324" s="6" t="s">
        <v>29</v>
      </c>
      <c r="C324" s="7" t="str">
        <f>IF(A324="","",IFERROR(IF(VLOOKUP(B324,Bibliotheques!$A$10:$B$59,2,FALSE)=0,"Nom manquant",VLOOKUP(B324,Bibliotheques!$A$10:$B$59,2,FALSE)),"Clé inconnue"))</f>
        <v/>
      </c>
      <c r="D324" s="6" t="s">
        <v>29</v>
      </c>
      <c r="E324" s="7" t="str">
        <f t="shared" si="4"/>
        <v/>
      </c>
      <c r="F324" s="6" t="s">
        <v>29</v>
      </c>
      <c r="G324" s="6" t="s">
        <v>29</v>
      </c>
      <c r="H324" s="8" t="str">
        <f>IF(A324="","",Bibliotheques!$B$5&amp;IF(RIGHT(Bibliotheques!$B$5,1)="/","","/")&amp;SUBSTITUTE(A324," ","%20"))</f>
        <v/>
      </c>
      <c r="I324" s="6" t="s">
        <v>29</v>
      </c>
      <c r="J324" s="6" t="s">
        <v>29</v>
      </c>
    </row>
    <row r="325" spans="1:10" ht="33.950000000000003" customHeight="1">
      <c r="A325" s="6" t="s">
        <v>29</v>
      </c>
      <c r="B325" s="6" t="s">
        <v>29</v>
      </c>
      <c r="C325" s="7" t="str">
        <f>IF(A325="","",IFERROR(IF(VLOOKUP(B325,Bibliotheques!$A$10:$B$59,2,FALSE)=0,"Nom manquant",VLOOKUP(B325,Bibliotheques!$A$10:$B$59,2,FALSE)),"Clé inconnue"))</f>
        <v/>
      </c>
      <c r="D325" s="6" t="s">
        <v>29</v>
      </c>
      <c r="E325" s="7" t="str">
        <f t="shared" si="4"/>
        <v/>
      </c>
      <c r="F325" s="6" t="s">
        <v>29</v>
      </c>
      <c r="G325" s="6" t="s">
        <v>29</v>
      </c>
      <c r="H325" s="8" t="str">
        <f>IF(A325="","",Bibliotheques!$B$5&amp;IF(RIGHT(Bibliotheques!$B$5,1)="/","","/")&amp;SUBSTITUTE(A325," ","%20"))</f>
        <v/>
      </c>
      <c r="I325" s="6" t="s">
        <v>29</v>
      </c>
      <c r="J325" s="6" t="s">
        <v>29</v>
      </c>
    </row>
    <row r="326" spans="1:10" ht="33.950000000000003" customHeight="1">
      <c r="A326" s="6" t="s">
        <v>29</v>
      </c>
      <c r="B326" s="6" t="s">
        <v>29</v>
      </c>
      <c r="C326" s="7" t="str">
        <f>IF(A326="","",IFERROR(IF(VLOOKUP(B326,Bibliotheques!$A$10:$B$59,2,FALSE)=0,"Nom manquant",VLOOKUP(B326,Bibliotheques!$A$10:$B$59,2,FALSE)),"Clé inconnue"))</f>
        <v/>
      </c>
      <c r="D326" s="6" t="s">
        <v>29</v>
      </c>
      <c r="E326" s="7" t="str">
        <f t="shared" ref="E326:E389" si="5">IF(A326="","",LOWER(B326&amp;"-"&amp;SUBSTITUTE(SUBSTITUTE(SUBSTITUTE(LOWER(A326),".svg","")," ","-"),"/","-")))</f>
        <v/>
      </c>
      <c r="F326" s="6" t="s">
        <v>29</v>
      </c>
      <c r="G326" s="6" t="s">
        <v>29</v>
      </c>
      <c r="H326" s="8" t="str">
        <f>IF(A326="","",Bibliotheques!$B$5&amp;IF(RIGHT(Bibliotheques!$B$5,1)="/","","/")&amp;SUBSTITUTE(A326," ","%20"))</f>
        <v/>
      </c>
      <c r="I326" s="6" t="s">
        <v>29</v>
      </c>
      <c r="J326" s="6" t="s">
        <v>29</v>
      </c>
    </row>
    <row r="327" spans="1:10" ht="33.950000000000003" customHeight="1">
      <c r="A327" s="6" t="s">
        <v>29</v>
      </c>
      <c r="B327" s="6" t="s">
        <v>29</v>
      </c>
      <c r="C327" s="7" t="str">
        <f>IF(A327="","",IFERROR(IF(VLOOKUP(B327,Bibliotheques!$A$10:$B$59,2,FALSE)=0,"Nom manquant",VLOOKUP(B327,Bibliotheques!$A$10:$B$59,2,FALSE)),"Clé inconnue"))</f>
        <v/>
      </c>
      <c r="D327" s="6" t="s">
        <v>29</v>
      </c>
      <c r="E327" s="7" t="str">
        <f t="shared" si="5"/>
        <v/>
      </c>
      <c r="F327" s="6" t="s">
        <v>29</v>
      </c>
      <c r="G327" s="6" t="s">
        <v>29</v>
      </c>
      <c r="H327" s="8" t="str">
        <f>IF(A327="","",Bibliotheques!$B$5&amp;IF(RIGHT(Bibliotheques!$B$5,1)="/","","/")&amp;SUBSTITUTE(A327," ","%20"))</f>
        <v/>
      </c>
      <c r="I327" s="6" t="s">
        <v>29</v>
      </c>
      <c r="J327" s="6" t="s">
        <v>29</v>
      </c>
    </row>
    <row r="328" spans="1:10" ht="33.950000000000003" customHeight="1">
      <c r="A328" s="6" t="s">
        <v>29</v>
      </c>
      <c r="B328" s="6" t="s">
        <v>29</v>
      </c>
      <c r="C328" s="7" t="str">
        <f>IF(A328="","",IFERROR(IF(VLOOKUP(B328,Bibliotheques!$A$10:$B$59,2,FALSE)=0,"Nom manquant",VLOOKUP(B328,Bibliotheques!$A$10:$B$59,2,FALSE)),"Clé inconnue"))</f>
        <v/>
      </c>
      <c r="D328" s="6" t="s">
        <v>29</v>
      </c>
      <c r="E328" s="7" t="str">
        <f t="shared" si="5"/>
        <v/>
      </c>
      <c r="F328" s="6" t="s">
        <v>29</v>
      </c>
      <c r="G328" s="6" t="s">
        <v>29</v>
      </c>
      <c r="H328" s="8" t="str">
        <f>IF(A328="","",Bibliotheques!$B$5&amp;IF(RIGHT(Bibliotheques!$B$5,1)="/","","/")&amp;SUBSTITUTE(A328," ","%20"))</f>
        <v/>
      </c>
      <c r="I328" s="6" t="s">
        <v>29</v>
      </c>
      <c r="J328" s="6" t="s">
        <v>29</v>
      </c>
    </row>
    <row r="329" spans="1:10" ht="33.950000000000003" customHeight="1">
      <c r="A329" s="6" t="s">
        <v>29</v>
      </c>
      <c r="B329" s="6" t="s">
        <v>29</v>
      </c>
      <c r="C329" s="7" t="str">
        <f>IF(A329="","",IFERROR(IF(VLOOKUP(B329,Bibliotheques!$A$10:$B$59,2,FALSE)=0,"Nom manquant",VLOOKUP(B329,Bibliotheques!$A$10:$B$59,2,FALSE)),"Clé inconnue"))</f>
        <v/>
      </c>
      <c r="D329" s="6" t="s">
        <v>29</v>
      </c>
      <c r="E329" s="7" t="str">
        <f t="shared" si="5"/>
        <v/>
      </c>
      <c r="F329" s="6" t="s">
        <v>29</v>
      </c>
      <c r="G329" s="6" t="s">
        <v>29</v>
      </c>
      <c r="H329" s="8" t="str">
        <f>IF(A329="","",Bibliotheques!$B$5&amp;IF(RIGHT(Bibliotheques!$B$5,1)="/","","/")&amp;SUBSTITUTE(A329," ","%20"))</f>
        <v/>
      </c>
      <c r="I329" s="6" t="s">
        <v>29</v>
      </c>
      <c r="J329" s="6" t="s">
        <v>29</v>
      </c>
    </row>
    <row r="330" spans="1:10" ht="33.950000000000003" customHeight="1">
      <c r="A330" s="6" t="s">
        <v>29</v>
      </c>
      <c r="B330" s="6" t="s">
        <v>29</v>
      </c>
      <c r="C330" s="7" t="str">
        <f>IF(A330="","",IFERROR(IF(VLOOKUP(B330,Bibliotheques!$A$10:$B$59,2,FALSE)=0,"Nom manquant",VLOOKUP(B330,Bibliotheques!$A$10:$B$59,2,FALSE)),"Clé inconnue"))</f>
        <v/>
      </c>
      <c r="D330" s="6" t="s">
        <v>29</v>
      </c>
      <c r="E330" s="7" t="str">
        <f t="shared" si="5"/>
        <v/>
      </c>
      <c r="F330" s="6" t="s">
        <v>29</v>
      </c>
      <c r="G330" s="6" t="s">
        <v>29</v>
      </c>
      <c r="H330" s="8" t="str">
        <f>IF(A330="","",Bibliotheques!$B$5&amp;IF(RIGHT(Bibliotheques!$B$5,1)="/","","/")&amp;SUBSTITUTE(A330," ","%20"))</f>
        <v/>
      </c>
      <c r="I330" s="6" t="s">
        <v>29</v>
      </c>
      <c r="J330" s="6" t="s">
        <v>29</v>
      </c>
    </row>
    <row r="331" spans="1:10" ht="33.950000000000003" customHeight="1">
      <c r="A331" s="6" t="s">
        <v>29</v>
      </c>
      <c r="B331" s="6" t="s">
        <v>29</v>
      </c>
      <c r="C331" s="7" t="str">
        <f>IF(A331="","",IFERROR(IF(VLOOKUP(B331,Bibliotheques!$A$10:$B$59,2,FALSE)=0,"Nom manquant",VLOOKUP(B331,Bibliotheques!$A$10:$B$59,2,FALSE)),"Clé inconnue"))</f>
        <v/>
      </c>
      <c r="D331" s="6" t="s">
        <v>29</v>
      </c>
      <c r="E331" s="7" t="str">
        <f t="shared" si="5"/>
        <v/>
      </c>
      <c r="F331" s="6" t="s">
        <v>29</v>
      </c>
      <c r="G331" s="6" t="s">
        <v>29</v>
      </c>
      <c r="H331" s="8" t="str">
        <f>IF(A331="","",Bibliotheques!$B$5&amp;IF(RIGHT(Bibliotheques!$B$5,1)="/","","/")&amp;SUBSTITUTE(A331," ","%20"))</f>
        <v/>
      </c>
      <c r="I331" s="6" t="s">
        <v>29</v>
      </c>
      <c r="J331" s="6" t="s">
        <v>29</v>
      </c>
    </row>
    <row r="332" spans="1:10" ht="33.950000000000003" customHeight="1">
      <c r="A332" s="6" t="s">
        <v>29</v>
      </c>
      <c r="B332" s="6" t="s">
        <v>29</v>
      </c>
      <c r="C332" s="7" t="str">
        <f>IF(A332="","",IFERROR(IF(VLOOKUP(B332,Bibliotheques!$A$10:$B$59,2,FALSE)=0,"Nom manquant",VLOOKUP(B332,Bibliotheques!$A$10:$B$59,2,FALSE)),"Clé inconnue"))</f>
        <v/>
      </c>
      <c r="D332" s="6" t="s">
        <v>29</v>
      </c>
      <c r="E332" s="7" t="str">
        <f t="shared" si="5"/>
        <v/>
      </c>
      <c r="F332" s="6" t="s">
        <v>29</v>
      </c>
      <c r="G332" s="6" t="s">
        <v>29</v>
      </c>
      <c r="H332" s="8" t="str">
        <f>IF(A332="","",Bibliotheques!$B$5&amp;IF(RIGHT(Bibliotheques!$B$5,1)="/","","/")&amp;SUBSTITUTE(A332," ","%20"))</f>
        <v/>
      </c>
      <c r="I332" s="6" t="s">
        <v>29</v>
      </c>
      <c r="J332" s="6" t="s">
        <v>29</v>
      </c>
    </row>
    <row r="333" spans="1:10" ht="33.950000000000003" customHeight="1">
      <c r="A333" s="6" t="s">
        <v>29</v>
      </c>
      <c r="B333" s="6" t="s">
        <v>29</v>
      </c>
      <c r="C333" s="7" t="str">
        <f>IF(A333="","",IFERROR(IF(VLOOKUP(B333,Bibliotheques!$A$10:$B$59,2,FALSE)=0,"Nom manquant",VLOOKUP(B333,Bibliotheques!$A$10:$B$59,2,FALSE)),"Clé inconnue"))</f>
        <v/>
      </c>
      <c r="D333" s="6" t="s">
        <v>29</v>
      </c>
      <c r="E333" s="7" t="str">
        <f t="shared" si="5"/>
        <v/>
      </c>
      <c r="F333" s="6" t="s">
        <v>29</v>
      </c>
      <c r="G333" s="6" t="s">
        <v>29</v>
      </c>
      <c r="H333" s="8" t="str">
        <f>IF(A333="","",Bibliotheques!$B$5&amp;IF(RIGHT(Bibliotheques!$B$5,1)="/","","/")&amp;SUBSTITUTE(A333," ","%20"))</f>
        <v/>
      </c>
      <c r="I333" s="6" t="s">
        <v>29</v>
      </c>
      <c r="J333" s="6" t="s">
        <v>29</v>
      </c>
    </row>
    <row r="334" spans="1:10" ht="33.950000000000003" customHeight="1">
      <c r="A334" s="6" t="s">
        <v>29</v>
      </c>
      <c r="B334" s="6" t="s">
        <v>29</v>
      </c>
      <c r="C334" s="7" t="str">
        <f>IF(A334="","",IFERROR(IF(VLOOKUP(B334,Bibliotheques!$A$10:$B$59,2,FALSE)=0,"Nom manquant",VLOOKUP(B334,Bibliotheques!$A$10:$B$59,2,FALSE)),"Clé inconnue"))</f>
        <v/>
      </c>
      <c r="D334" s="6" t="s">
        <v>29</v>
      </c>
      <c r="E334" s="7" t="str">
        <f t="shared" si="5"/>
        <v/>
      </c>
      <c r="F334" s="6" t="s">
        <v>29</v>
      </c>
      <c r="G334" s="6" t="s">
        <v>29</v>
      </c>
      <c r="H334" s="8" t="str">
        <f>IF(A334="","",Bibliotheques!$B$5&amp;IF(RIGHT(Bibliotheques!$B$5,1)="/","","/")&amp;SUBSTITUTE(A334," ","%20"))</f>
        <v/>
      </c>
      <c r="I334" s="6" t="s">
        <v>29</v>
      </c>
      <c r="J334" s="6" t="s">
        <v>29</v>
      </c>
    </row>
    <row r="335" spans="1:10" ht="33.950000000000003" customHeight="1">
      <c r="A335" s="6" t="s">
        <v>29</v>
      </c>
      <c r="B335" s="6" t="s">
        <v>29</v>
      </c>
      <c r="C335" s="7" t="str">
        <f>IF(A335="","",IFERROR(IF(VLOOKUP(B335,Bibliotheques!$A$10:$B$59,2,FALSE)=0,"Nom manquant",VLOOKUP(B335,Bibliotheques!$A$10:$B$59,2,FALSE)),"Clé inconnue"))</f>
        <v/>
      </c>
      <c r="D335" s="6" t="s">
        <v>29</v>
      </c>
      <c r="E335" s="7" t="str">
        <f t="shared" si="5"/>
        <v/>
      </c>
      <c r="F335" s="6" t="s">
        <v>29</v>
      </c>
      <c r="G335" s="6" t="s">
        <v>29</v>
      </c>
      <c r="H335" s="8" t="str">
        <f>IF(A335="","",Bibliotheques!$B$5&amp;IF(RIGHT(Bibliotheques!$B$5,1)="/","","/")&amp;SUBSTITUTE(A335," ","%20"))</f>
        <v/>
      </c>
      <c r="I335" s="6" t="s">
        <v>29</v>
      </c>
      <c r="J335" s="6" t="s">
        <v>29</v>
      </c>
    </row>
    <row r="336" spans="1:10" ht="33.950000000000003" customHeight="1">
      <c r="A336" s="6" t="s">
        <v>29</v>
      </c>
      <c r="B336" s="6" t="s">
        <v>29</v>
      </c>
      <c r="C336" s="7" t="str">
        <f>IF(A336="","",IFERROR(IF(VLOOKUP(B336,Bibliotheques!$A$10:$B$59,2,FALSE)=0,"Nom manquant",VLOOKUP(B336,Bibliotheques!$A$10:$B$59,2,FALSE)),"Clé inconnue"))</f>
        <v/>
      </c>
      <c r="D336" s="6" t="s">
        <v>29</v>
      </c>
      <c r="E336" s="7" t="str">
        <f t="shared" si="5"/>
        <v/>
      </c>
      <c r="F336" s="6" t="s">
        <v>29</v>
      </c>
      <c r="G336" s="6" t="s">
        <v>29</v>
      </c>
      <c r="H336" s="8" t="str">
        <f>IF(A336="","",Bibliotheques!$B$5&amp;IF(RIGHT(Bibliotheques!$B$5,1)="/","","/")&amp;SUBSTITUTE(A336," ","%20"))</f>
        <v/>
      </c>
      <c r="I336" s="6" t="s">
        <v>29</v>
      </c>
      <c r="J336" s="6" t="s">
        <v>29</v>
      </c>
    </row>
    <row r="337" spans="1:10" ht="33.950000000000003" customHeight="1">
      <c r="A337" s="6" t="s">
        <v>29</v>
      </c>
      <c r="B337" s="6" t="s">
        <v>29</v>
      </c>
      <c r="C337" s="7" t="str">
        <f>IF(A337="","",IFERROR(IF(VLOOKUP(B337,Bibliotheques!$A$10:$B$59,2,FALSE)=0,"Nom manquant",VLOOKUP(B337,Bibliotheques!$A$10:$B$59,2,FALSE)),"Clé inconnue"))</f>
        <v/>
      </c>
      <c r="D337" s="6" t="s">
        <v>29</v>
      </c>
      <c r="E337" s="7" t="str">
        <f t="shared" si="5"/>
        <v/>
      </c>
      <c r="F337" s="6" t="s">
        <v>29</v>
      </c>
      <c r="G337" s="6" t="s">
        <v>29</v>
      </c>
      <c r="H337" s="8" t="str">
        <f>IF(A337="","",Bibliotheques!$B$5&amp;IF(RIGHT(Bibliotheques!$B$5,1)="/","","/")&amp;SUBSTITUTE(A337," ","%20"))</f>
        <v/>
      </c>
      <c r="I337" s="6" t="s">
        <v>29</v>
      </c>
      <c r="J337" s="6" t="s">
        <v>29</v>
      </c>
    </row>
    <row r="338" spans="1:10" ht="33.950000000000003" customHeight="1">
      <c r="A338" s="6" t="s">
        <v>29</v>
      </c>
      <c r="B338" s="6" t="s">
        <v>29</v>
      </c>
      <c r="C338" s="7" t="str">
        <f>IF(A338="","",IFERROR(IF(VLOOKUP(B338,Bibliotheques!$A$10:$B$59,2,FALSE)=0,"Nom manquant",VLOOKUP(B338,Bibliotheques!$A$10:$B$59,2,FALSE)),"Clé inconnue"))</f>
        <v/>
      </c>
      <c r="D338" s="6" t="s">
        <v>29</v>
      </c>
      <c r="E338" s="7" t="str">
        <f t="shared" si="5"/>
        <v/>
      </c>
      <c r="F338" s="6" t="s">
        <v>29</v>
      </c>
      <c r="G338" s="6" t="s">
        <v>29</v>
      </c>
      <c r="H338" s="8" t="str">
        <f>IF(A338="","",Bibliotheques!$B$5&amp;IF(RIGHT(Bibliotheques!$B$5,1)="/","","/")&amp;SUBSTITUTE(A338," ","%20"))</f>
        <v/>
      </c>
      <c r="I338" s="6" t="s">
        <v>29</v>
      </c>
      <c r="J338" s="6" t="s">
        <v>29</v>
      </c>
    </row>
    <row r="339" spans="1:10" ht="33.950000000000003" customHeight="1">
      <c r="A339" s="6" t="s">
        <v>29</v>
      </c>
      <c r="B339" s="6" t="s">
        <v>29</v>
      </c>
      <c r="C339" s="7" t="str">
        <f>IF(A339="","",IFERROR(IF(VLOOKUP(B339,Bibliotheques!$A$10:$B$59,2,FALSE)=0,"Nom manquant",VLOOKUP(B339,Bibliotheques!$A$10:$B$59,2,FALSE)),"Clé inconnue"))</f>
        <v/>
      </c>
      <c r="D339" s="6" t="s">
        <v>29</v>
      </c>
      <c r="E339" s="7" t="str">
        <f t="shared" si="5"/>
        <v/>
      </c>
      <c r="F339" s="6" t="s">
        <v>29</v>
      </c>
      <c r="G339" s="6" t="s">
        <v>29</v>
      </c>
      <c r="H339" s="8" t="str">
        <f>IF(A339="","",Bibliotheques!$B$5&amp;IF(RIGHT(Bibliotheques!$B$5,1)="/","","/")&amp;SUBSTITUTE(A339," ","%20"))</f>
        <v/>
      </c>
      <c r="I339" s="6" t="s">
        <v>29</v>
      </c>
      <c r="J339" s="6" t="s">
        <v>29</v>
      </c>
    </row>
    <row r="340" spans="1:10" ht="33.950000000000003" customHeight="1">
      <c r="A340" s="6" t="s">
        <v>29</v>
      </c>
      <c r="B340" s="6" t="s">
        <v>29</v>
      </c>
      <c r="C340" s="7" t="str">
        <f>IF(A340="","",IFERROR(IF(VLOOKUP(B340,Bibliotheques!$A$10:$B$59,2,FALSE)=0,"Nom manquant",VLOOKUP(B340,Bibliotheques!$A$10:$B$59,2,FALSE)),"Clé inconnue"))</f>
        <v/>
      </c>
      <c r="D340" s="6" t="s">
        <v>29</v>
      </c>
      <c r="E340" s="7" t="str">
        <f t="shared" si="5"/>
        <v/>
      </c>
      <c r="F340" s="6" t="s">
        <v>29</v>
      </c>
      <c r="G340" s="6" t="s">
        <v>29</v>
      </c>
      <c r="H340" s="8" t="str">
        <f>IF(A340="","",Bibliotheques!$B$5&amp;IF(RIGHT(Bibliotheques!$B$5,1)="/","","/")&amp;SUBSTITUTE(A340," ","%20"))</f>
        <v/>
      </c>
      <c r="I340" s="6" t="s">
        <v>29</v>
      </c>
      <c r="J340" s="6" t="s">
        <v>29</v>
      </c>
    </row>
    <row r="341" spans="1:10" ht="33.950000000000003" customHeight="1">
      <c r="A341" s="6" t="s">
        <v>29</v>
      </c>
      <c r="B341" s="6" t="s">
        <v>29</v>
      </c>
      <c r="C341" s="7" t="str">
        <f>IF(A341="","",IFERROR(IF(VLOOKUP(B341,Bibliotheques!$A$10:$B$59,2,FALSE)=0,"Nom manquant",VLOOKUP(B341,Bibliotheques!$A$10:$B$59,2,FALSE)),"Clé inconnue"))</f>
        <v/>
      </c>
      <c r="D341" s="6" t="s">
        <v>29</v>
      </c>
      <c r="E341" s="7" t="str">
        <f t="shared" si="5"/>
        <v/>
      </c>
      <c r="F341" s="6" t="s">
        <v>29</v>
      </c>
      <c r="G341" s="6" t="s">
        <v>29</v>
      </c>
      <c r="H341" s="8" t="str">
        <f>IF(A341="","",Bibliotheques!$B$5&amp;IF(RIGHT(Bibliotheques!$B$5,1)="/","","/")&amp;SUBSTITUTE(A341," ","%20"))</f>
        <v/>
      </c>
      <c r="I341" s="6" t="s">
        <v>29</v>
      </c>
      <c r="J341" s="6" t="s">
        <v>29</v>
      </c>
    </row>
    <row r="342" spans="1:10" ht="33.950000000000003" customHeight="1">
      <c r="A342" s="6" t="s">
        <v>29</v>
      </c>
      <c r="B342" s="6" t="s">
        <v>29</v>
      </c>
      <c r="C342" s="7" t="str">
        <f>IF(A342="","",IFERROR(IF(VLOOKUP(B342,Bibliotheques!$A$10:$B$59,2,FALSE)=0,"Nom manquant",VLOOKUP(B342,Bibliotheques!$A$10:$B$59,2,FALSE)),"Clé inconnue"))</f>
        <v/>
      </c>
      <c r="D342" s="6" t="s">
        <v>29</v>
      </c>
      <c r="E342" s="7" t="str">
        <f t="shared" si="5"/>
        <v/>
      </c>
      <c r="F342" s="6" t="s">
        <v>29</v>
      </c>
      <c r="G342" s="6" t="s">
        <v>29</v>
      </c>
      <c r="H342" s="8" t="str">
        <f>IF(A342="","",Bibliotheques!$B$5&amp;IF(RIGHT(Bibliotheques!$B$5,1)="/","","/")&amp;SUBSTITUTE(A342," ","%20"))</f>
        <v/>
      </c>
      <c r="I342" s="6" t="s">
        <v>29</v>
      </c>
      <c r="J342" s="6" t="s">
        <v>29</v>
      </c>
    </row>
    <row r="343" spans="1:10" ht="33.950000000000003" customHeight="1">
      <c r="A343" s="6" t="s">
        <v>29</v>
      </c>
      <c r="B343" s="6" t="s">
        <v>29</v>
      </c>
      <c r="C343" s="7" t="str">
        <f>IF(A343="","",IFERROR(IF(VLOOKUP(B343,Bibliotheques!$A$10:$B$59,2,FALSE)=0,"Nom manquant",VLOOKUP(B343,Bibliotheques!$A$10:$B$59,2,FALSE)),"Clé inconnue"))</f>
        <v/>
      </c>
      <c r="D343" s="6" t="s">
        <v>29</v>
      </c>
      <c r="E343" s="7" t="str">
        <f t="shared" si="5"/>
        <v/>
      </c>
      <c r="F343" s="6" t="s">
        <v>29</v>
      </c>
      <c r="G343" s="6" t="s">
        <v>29</v>
      </c>
      <c r="H343" s="8" t="str">
        <f>IF(A343="","",Bibliotheques!$B$5&amp;IF(RIGHT(Bibliotheques!$B$5,1)="/","","/")&amp;SUBSTITUTE(A343," ","%20"))</f>
        <v/>
      </c>
      <c r="I343" s="6" t="s">
        <v>29</v>
      </c>
      <c r="J343" s="6" t="s">
        <v>29</v>
      </c>
    </row>
    <row r="344" spans="1:10" ht="33.950000000000003" customHeight="1">
      <c r="A344" s="6" t="s">
        <v>29</v>
      </c>
      <c r="B344" s="6" t="s">
        <v>29</v>
      </c>
      <c r="C344" s="7" t="str">
        <f>IF(A344="","",IFERROR(IF(VLOOKUP(B344,Bibliotheques!$A$10:$B$59,2,FALSE)=0,"Nom manquant",VLOOKUP(B344,Bibliotheques!$A$10:$B$59,2,FALSE)),"Clé inconnue"))</f>
        <v/>
      </c>
      <c r="D344" s="6" t="s">
        <v>29</v>
      </c>
      <c r="E344" s="7" t="str">
        <f t="shared" si="5"/>
        <v/>
      </c>
      <c r="F344" s="6" t="s">
        <v>29</v>
      </c>
      <c r="G344" s="6" t="s">
        <v>29</v>
      </c>
      <c r="H344" s="8" t="str">
        <f>IF(A344="","",Bibliotheques!$B$5&amp;IF(RIGHT(Bibliotheques!$B$5,1)="/","","/")&amp;SUBSTITUTE(A344," ","%20"))</f>
        <v/>
      </c>
      <c r="I344" s="6" t="s">
        <v>29</v>
      </c>
      <c r="J344" s="6" t="s">
        <v>29</v>
      </c>
    </row>
    <row r="345" spans="1:10" ht="33.950000000000003" customHeight="1">
      <c r="A345" s="6" t="s">
        <v>29</v>
      </c>
      <c r="B345" s="6" t="s">
        <v>29</v>
      </c>
      <c r="C345" s="7" t="str">
        <f>IF(A345="","",IFERROR(IF(VLOOKUP(B345,Bibliotheques!$A$10:$B$59,2,FALSE)=0,"Nom manquant",VLOOKUP(B345,Bibliotheques!$A$10:$B$59,2,FALSE)),"Clé inconnue"))</f>
        <v/>
      </c>
      <c r="D345" s="6" t="s">
        <v>29</v>
      </c>
      <c r="E345" s="7" t="str">
        <f t="shared" si="5"/>
        <v/>
      </c>
      <c r="F345" s="6" t="s">
        <v>29</v>
      </c>
      <c r="G345" s="6" t="s">
        <v>29</v>
      </c>
      <c r="H345" s="8" t="str">
        <f>IF(A345="","",Bibliotheques!$B$5&amp;IF(RIGHT(Bibliotheques!$B$5,1)="/","","/")&amp;SUBSTITUTE(A345," ","%20"))</f>
        <v/>
      </c>
      <c r="I345" s="6" t="s">
        <v>29</v>
      </c>
      <c r="J345" s="6" t="s">
        <v>29</v>
      </c>
    </row>
    <row r="346" spans="1:10" ht="33.950000000000003" customHeight="1">
      <c r="A346" s="6" t="s">
        <v>29</v>
      </c>
      <c r="B346" s="6" t="s">
        <v>29</v>
      </c>
      <c r="C346" s="7" t="str">
        <f>IF(A346="","",IFERROR(IF(VLOOKUP(B346,Bibliotheques!$A$10:$B$59,2,FALSE)=0,"Nom manquant",VLOOKUP(B346,Bibliotheques!$A$10:$B$59,2,FALSE)),"Clé inconnue"))</f>
        <v/>
      </c>
      <c r="D346" s="6" t="s">
        <v>29</v>
      </c>
      <c r="E346" s="7" t="str">
        <f t="shared" si="5"/>
        <v/>
      </c>
      <c r="F346" s="6" t="s">
        <v>29</v>
      </c>
      <c r="G346" s="6" t="s">
        <v>29</v>
      </c>
      <c r="H346" s="8" t="str">
        <f>IF(A346="","",Bibliotheques!$B$5&amp;IF(RIGHT(Bibliotheques!$B$5,1)="/","","/")&amp;SUBSTITUTE(A346," ","%20"))</f>
        <v/>
      </c>
      <c r="I346" s="6" t="s">
        <v>29</v>
      </c>
      <c r="J346" s="6" t="s">
        <v>29</v>
      </c>
    </row>
    <row r="347" spans="1:10" ht="33.950000000000003" customHeight="1">
      <c r="A347" s="6" t="s">
        <v>29</v>
      </c>
      <c r="B347" s="6" t="s">
        <v>29</v>
      </c>
      <c r="C347" s="7" t="str">
        <f>IF(A347="","",IFERROR(IF(VLOOKUP(B347,Bibliotheques!$A$10:$B$59,2,FALSE)=0,"Nom manquant",VLOOKUP(B347,Bibliotheques!$A$10:$B$59,2,FALSE)),"Clé inconnue"))</f>
        <v/>
      </c>
      <c r="D347" s="6" t="s">
        <v>29</v>
      </c>
      <c r="E347" s="7" t="str">
        <f t="shared" si="5"/>
        <v/>
      </c>
      <c r="F347" s="6" t="s">
        <v>29</v>
      </c>
      <c r="G347" s="6" t="s">
        <v>29</v>
      </c>
      <c r="H347" s="8" t="str">
        <f>IF(A347="","",Bibliotheques!$B$5&amp;IF(RIGHT(Bibliotheques!$B$5,1)="/","","/")&amp;SUBSTITUTE(A347," ","%20"))</f>
        <v/>
      </c>
      <c r="I347" s="6" t="s">
        <v>29</v>
      </c>
      <c r="J347" s="6" t="s">
        <v>29</v>
      </c>
    </row>
    <row r="348" spans="1:10" ht="33.950000000000003" customHeight="1">
      <c r="A348" s="6" t="s">
        <v>29</v>
      </c>
      <c r="B348" s="6" t="s">
        <v>29</v>
      </c>
      <c r="C348" s="7" t="str">
        <f>IF(A348="","",IFERROR(IF(VLOOKUP(B348,Bibliotheques!$A$10:$B$59,2,FALSE)=0,"Nom manquant",VLOOKUP(B348,Bibliotheques!$A$10:$B$59,2,FALSE)),"Clé inconnue"))</f>
        <v/>
      </c>
      <c r="D348" s="6" t="s">
        <v>29</v>
      </c>
      <c r="E348" s="7" t="str">
        <f t="shared" si="5"/>
        <v/>
      </c>
      <c r="F348" s="6" t="s">
        <v>29</v>
      </c>
      <c r="G348" s="6" t="s">
        <v>29</v>
      </c>
      <c r="H348" s="8" t="str">
        <f>IF(A348="","",Bibliotheques!$B$5&amp;IF(RIGHT(Bibliotheques!$B$5,1)="/","","/")&amp;SUBSTITUTE(A348," ","%20"))</f>
        <v/>
      </c>
      <c r="I348" s="6" t="s">
        <v>29</v>
      </c>
      <c r="J348" s="6" t="s">
        <v>29</v>
      </c>
    </row>
    <row r="349" spans="1:10" ht="33.950000000000003" customHeight="1">
      <c r="A349" s="6" t="s">
        <v>29</v>
      </c>
      <c r="B349" s="6" t="s">
        <v>29</v>
      </c>
      <c r="C349" s="7" t="str">
        <f>IF(A349="","",IFERROR(IF(VLOOKUP(B349,Bibliotheques!$A$10:$B$59,2,FALSE)=0,"Nom manquant",VLOOKUP(B349,Bibliotheques!$A$10:$B$59,2,FALSE)),"Clé inconnue"))</f>
        <v/>
      </c>
      <c r="D349" s="6" t="s">
        <v>29</v>
      </c>
      <c r="E349" s="7" t="str">
        <f t="shared" si="5"/>
        <v/>
      </c>
      <c r="F349" s="6" t="s">
        <v>29</v>
      </c>
      <c r="G349" s="6" t="s">
        <v>29</v>
      </c>
      <c r="H349" s="8" t="str">
        <f>IF(A349="","",Bibliotheques!$B$5&amp;IF(RIGHT(Bibliotheques!$B$5,1)="/","","/")&amp;SUBSTITUTE(A349," ","%20"))</f>
        <v/>
      </c>
      <c r="I349" s="6" t="s">
        <v>29</v>
      </c>
      <c r="J349" s="6" t="s">
        <v>29</v>
      </c>
    </row>
    <row r="350" spans="1:10" ht="33.950000000000003" customHeight="1">
      <c r="A350" s="6" t="s">
        <v>29</v>
      </c>
      <c r="B350" s="6" t="s">
        <v>29</v>
      </c>
      <c r="C350" s="7" t="str">
        <f>IF(A350="","",IFERROR(IF(VLOOKUP(B350,Bibliotheques!$A$10:$B$59,2,FALSE)=0,"Nom manquant",VLOOKUP(B350,Bibliotheques!$A$10:$B$59,2,FALSE)),"Clé inconnue"))</f>
        <v/>
      </c>
      <c r="D350" s="6" t="s">
        <v>29</v>
      </c>
      <c r="E350" s="7" t="str">
        <f t="shared" si="5"/>
        <v/>
      </c>
      <c r="F350" s="6" t="s">
        <v>29</v>
      </c>
      <c r="G350" s="6" t="s">
        <v>29</v>
      </c>
      <c r="H350" s="8" t="str">
        <f>IF(A350="","",Bibliotheques!$B$5&amp;IF(RIGHT(Bibliotheques!$B$5,1)="/","","/")&amp;SUBSTITUTE(A350," ","%20"))</f>
        <v/>
      </c>
      <c r="I350" s="6" t="s">
        <v>29</v>
      </c>
      <c r="J350" s="6" t="s">
        <v>29</v>
      </c>
    </row>
    <row r="351" spans="1:10" ht="33.950000000000003" customHeight="1">
      <c r="A351" s="6" t="s">
        <v>29</v>
      </c>
      <c r="B351" s="6" t="s">
        <v>29</v>
      </c>
      <c r="C351" s="7" t="str">
        <f>IF(A351="","",IFERROR(IF(VLOOKUP(B351,Bibliotheques!$A$10:$B$59,2,FALSE)=0,"Nom manquant",VLOOKUP(B351,Bibliotheques!$A$10:$B$59,2,FALSE)),"Clé inconnue"))</f>
        <v/>
      </c>
      <c r="D351" s="6" t="s">
        <v>29</v>
      </c>
      <c r="E351" s="7" t="str">
        <f t="shared" si="5"/>
        <v/>
      </c>
      <c r="F351" s="6" t="s">
        <v>29</v>
      </c>
      <c r="G351" s="6" t="s">
        <v>29</v>
      </c>
      <c r="H351" s="8" t="str">
        <f>IF(A351="","",Bibliotheques!$B$5&amp;IF(RIGHT(Bibliotheques!$B$5,1)="/","","/")&amp;SUBSTITUTE(A351," ","%20"))</f>
        <v/>
      </c>
      <c r="I351" s="6" t="s">
        <v>29</v>
      </c>
      <c r="J351" s="6" t="s">
        <v>29</v>
      </c>
    </row>
    <row r="352" spans="1:10" ht="33.950000000000003" customHeight="1">
      <c r="A352" s="6" t="s">
        <v>29</v>
      </c>
      <c r="B352" s="6" t="s">
        <v>29</v>
      </c>
      <c r="C352" s="7" t="str">
        <f>IF(A352="","",IFERROR(IF(VLOOKUP(B352,Bibliotheques!$A$10:$B$59,2,FALSE)=0,"Nom manquant",VLOOKUP(B352,Bibliotheques!$A$10:$B$59,2,FALSE)),"Clé inconnue"))</f>
        <v/>
      </c>
      <c r="D352" s="6" t="s">
        <v>29</v>
      </c>
      <c r="E352" s="7" t="str">
        <f t="shared" si="5"/>
        <v/>
      </c>
      <c r="F352" s="6" t="s">
        <v>29</v>
      </c>
      <c r="G352" s="6" t="s">
        <v>29</v>
      </c>
      <c r="H352" s="8" t="str">
        <f>IF(A352="","",Bibliotheques!$B$5&amp;IF(RIGHT(Bibliotheques!$B$5,1)="/","","/")&amp;SUBSTITUTE(A352," ","%20"))</f>
        <v/>
      </c>
      <c r="I352" s="6" t="s">
        <v>29</v>
      </c>
      <c r="J352" s="6" t="s">
        <v>29</v>
      </c>
    </row>
    <row r="353" spans="1:10" ht="33.950000000000003" customHeight="1">
      <c r="A353" s="6" t="s">
        <v>29</v>
      </c>
      <c r="B353" s="6" t="s">
        <v>29</v>
      </c>
      <c r="C353" s="7" t="str">
        <f>IF(A353="","",IFERROR(IF(VLOOKUP(B353,Bibliotheques!$A$10:$B$59,2,FALSE)=0,"Nom manquant",VLOOKUP(B353,Bibliotheques!$A$10:$B$59,2,FALSE)),"Clé inconnue"))</f>
        <v/>
      </c>
      <c r="D353" s="6" t="s">
        <v>29</v>
      </c>
      <c r="E353" s="7" t="str">
        <f t="shared" si="5"/>
        <v/>
      </c>
      <c r="F353" s="6" t="s">
        <v>29</v>
      </c>
      <c r="G353" s="6" t="s">
        <v>29</v>
      </c>
      <c r="H353" s="8" t="str">
        <f>IF(A353="","",Bibliotheques!$B$5&amp;IF(RIGHT(Bibliotheques!$B$5,1)="/","","/")&amp;SUBSTITUTE(A353," ","%20"))</f>
        <v/>
      </c>
      <c r="I353" s="6" t="s">
        <v>29</v>
      </c>
      <c r="J353" s="6" t="s">
        <v>29</v>
      </c>
    </row>
    <row r="354" spans="1:10" ht="33.950000000000003" customHeight="1">
      <c r="A354" s="6" t="s">
        <v>29</v>
      </c>
      <c r="B354" s="6" t="s">
        <v>29</v>
      </c>
      <c r="C354" s="7" t="str">
        <f>IF(A354="","",IFERROR(IF(VLOOKUP(B354,Bibliotheques!$A$10:$B$59,2,FALSE)=0,"Nom manquant",VLOOKUP(B354,Bibliotheques!$A$10:$B$59,2,FALSE)),"Clé inconnue"))</f>
        <v/>
      </c>
      <c r="D354" s="6" t="s">
        <v>29</v>
      </c>
      <c r="E354" s="7" t="str">
        <f t="shared" si="5"/>
        <v/>
      </c>
      <c r="F354" s="6" t="s">
        <v>29</v>
      </c>
      <c r="G354" s="6" t="s">
        <v>29</v>
      </c>
      <c r="H354" s="8" t="str">
        <f>IF(A354="","",Bibliotheques!$B$5&amp;IF(RIGHT(Bibliotheques!$B$5,1)="/","","/")&amp;SUBSTITUTE(A354," ","%20"))</f>
        <v/>
      </c>
      <c r="I354" s="6" t="s">
        <v>29</v>
      </c>
      <c r="J354" s="6" t="s">
        <v>29</v>
      </c>
    </row>
    <row r="355" spans="1:10" ht="33.950000000000003" customHeight="1">
      <c r="A355" s="6" t="s">
        <v>29</v>
      </c>
      <c r="B355" s="6" t="s">
        <v>29</v>
      </c>
      <c r="C355" s="7" t="str">
        <f>IF(A355="","",IFERROR(IF(VLOOKUP(B355,Bibliotheques!$A$10:$B$59,2,FALSE)=0,"Nom manquant",VLOOKUP(B355,Bibliotheques!$A$10:$B$59,2,FALSE)),"Clé inconnue"))</f>
        <v/>
      </c>
      <c r="D355" s="6" t="s">
        <v>29</v>
      </c>
      <c r="E355" s="7" t="str">
        <f t="shared" si="5"/>
        <v/>
      </c>
      <c r="F355" s="6" t="s">
        <v>29</v>
      </c>
      <c r="G355" s="6" t="s">
        <v>29</v>
      </c>
      <c r="H355" s="8" t="str">
        <f>IF(A355="","",Bibliotheques!$B$5&amp;IF(RIGHT(Bibliotheques!$B$5,1)="/","","/")&amp;SUBSTITUTE(A355," ","%20"))</f>
        <v/>
      </c>
      <c r="I355" s="6" t="s">
        <v>29</v>
      </c>
      <c r="J355" s="6" t="s">
        <v>29</v>
      </c>
    </row>
    <row r="356" spans="1:10" ht="33.950000000000003" customHeight="1">
      <c r="A356" s="6" t="s">
        <v>29</v>
      </c>
      <c r="B356" s="6" t="s">
        <v>29</v>
      </c>
      <c r="C356" s="7" t="str">
        <f>IF(A356="","",IFERROR(IF(VLOOKUP(B356,Bibliotheques!$A$10:$B$59,2,FALSE)=0,"Nom manquant",VLOOKUP(B356,Bibliotheques!$A$10:$B$59,2,FALSE)),"Clé inconnue"))</f>
        <v/>
      </c>
      <c r="D356" s="6" t="s">
        <v>29</v>
      </c>
      <c r="E356" s="7" t="str">
        <f t="shared" si="5"/>
        <v/>
      </c>
      <c r="F356" s="6" t="s">
        <v>29</v>
      </c>
      <c r="G356" s="6" t="s">
        <v>29</v>
      </c>
      <c r="H356" s="8" t="str">
        <f>IF(A356="","",Bibliotheques!$B$5&amp;IF(RIGHT(Bibliotheques!$B$5,1)="/","","/")&amp;SUBSTITUTE(A356," ","%20"))</f>
        <v/>
      </c>
      <c r="I356" s="6" t="s">
        <v>29</v>
      </c>
      <c r="J356" s="6" t="s">
        <v>29</v>
      </c>
    </row>
    <row r="357" spans="1:10" ht="33.950000000000003" customHeight="1">
      <c r="A357" s="6" t="s">
        <v>29</v>
      </c>
      <c r="B357" s="6" t="s">
        <v>29</v>
      </c>
      <c r="C357" s="7" t="str">
        <f>IF(A357="","",IFERROR(IF(VLOOKUP(B357,Bibliotheques!$A$10:$B$59,2,FALSE)=0,"Nom manquant",VLOOKUP(B357,Bibliotheques!$A$10:$B$59,2,FALSE)),"Clé inconnue"))</f>
        <v/>
      </c>
      <c r="D357" s="6" t="s">
        <v>29</v>
      </c>
      <c r="E357" s="7" t="str">
        <f t="shared" si="5"/>
        <v/>
      </c>
      <c r="F357" s="6" t="s">
        <v>29</v>
      </c>
      <c r="G357" s="6" t="s">
        <v>29</v>
      </c>
      <c r="H357" s="8" t="str">
        <f>IF(A357="","",Bibliotheques!$B$5&amp;IF(RIGHT(Bibliotheques!$B$5,1)="/","","/")&amp;SUBSTITUTE(A357," ","%20"))</f>
        <v/>
      </c>
      <c r="I357" s="6" t="s">
        <v>29</v>
      </c>
      <c r="J357" s="6" t="s">
        <v>29</v>
      </c>
    </row>
    <row r="358" spans="1:10" ht="33.950000000000003" customHeight="1">
      <c r="A358" s="6" t="s">
        <v>29</v>
      </c>
      <c r="B358" s="6" t="s">
        <v>29</v>
      </c>
      <c r="C358" s="7" t="str">
        <f>IF(A358="","",IFERROR(IF(VLOOKUP(B358,Bibliotheques!$A$10:$B$59,2,FALSE)=0,"Nom manquant",VLOOKUP(B358,Bibliotheques!$A$10:$B$59,2,FALSE)),"Clé inconnue"))</f>
        <v/>
      </c>
      <c r="D358" s="6" t="s">
        <v>29</v>
      </c>
      <c r="E358" s="7" t="str">
        <f t="shared" si="5"/>
        <v/>
      </c>
      <c r="F358" s="6" t="s">
        <v>29</v>
      </c>
      <c r="G358" s="6" t="s">
        <v>29</v>
      </c>
      <c r="H358" s="8" t="str">
        <f>IF(A358="","",Bibliotheques!$B$5&amp;IF(RIGHT(Bibliotheques!$B$5,1)="/","","/")&amp;SUBSTITUTE(A358," ","%20"))</f>
        <v/>
      </c>
      <c r="I358" s="6" t="s">
        <v>29</v>
      </c>
      <c r="J358" s="6" t="s">
        <v>29</v>
      </c>
    </row>
    <row r="359" spans="1:10" ht="33.950000000000003" customHeight="1">
      <c r="A359" s="6" t="s">
        <v>29</v>
      </c>
      <c r="B359" s="6" t="s">
        <v>29</v>
      </c>
      <c r="C359" s="7" t="str">
        <f>IF(A359="","",IFERROR(IF(VLOOKUP(B359,Bibliotheques!$A$10:$B$59,2,FALSE)=0,"Nom manquant",VLOOKUP(B359,Bibliotheques!$A$10:$B$59,2,FALSE)),"Clé inconnue"))</f>
        <v/>
      </c>
      <c r="D359" s="6" t="s">
        <v>29</v>
      </c>
      <c r="E359" s="7" t="str">
        <f t="shared" si="5"/>
        <v/>
      </c>
      <c r="F359" s="6" t="s">
        <v>29</v>
      </c>
      <c r="G359" s="6" t="s">
        <v>29</v>
      </c>
      <c r="H359" s="8" t="str">
        <f>IF(A359="","",Bibliotheques!$B$5&amp;IF(RIGHT(Bibliotheques!$B$5,1)="/","","/")&amp;SUBSTITUTE(A359," ","%20"))</f>
        <v/>
      </c>
      <c r="I359" s="6" t="s">
        <v>29</v>
      </c>
      <c r="J359" s="6" t="s">
        <v>29</v>
      </c>
    </row>
    <row r="360" spans="1:10" ht="33.950000000000003" customHeight="1">
      <c r="A360" s="6" t="s">
        <v>29</v>
      </c>
      <c r="B360" s="6" t="s">
        <v>29</v>
      </c>
      <c r="C360" s="7" t="str">
        <f>IF(A360="","",IFERROR(IF(VLOOKUP(B360,Bibliotheques!$A$10:$B$59,2,FALSE)=0,"Nom manquant",VLOOKUP(B360,Bibliotheques!$A$10:$B$59,2,FALSE)),"Clé inconnue"))</f>
        <v/>
      </c>
      <c r="D360" s="6" t="s">
        <v>29</v>
      </c>
      <c r="E360" s="7" t="str">
        <f t="shared" si="5"/>
        <v/>
      </c>
      <c r="F360" s="6" t="s">
        <v>29</v>
      </c>
      <c r="G360" s="6" t="s">
        <v>29</v>
      </c>
      <c r="H360" s="8" t="str">
        <f>IF(A360="","",Bibliotheques!$B$5&amp;IF(RIGHT(Bibliotheques!$B$5,1)="/","","/")&amp;SUBSTITUTE(A360," ","%20"))</f>
        <v/>
      </c>
      <c r="I360" s="6" t="s">
        <v>29</v>
      </c>
      <c r="J360" s="6" t="s">
        <v>29</v>
      </c>
    </row>
    <row r="361" spans="1:10" ht="33.950000000000003" customHeight="1">
      <c r="A361" s="6" t="s">
        <v>29</v>
      </c>
      <c r="B361" s="6" t="s">
        <v>29</v>
      </c>
      <c r="C361" s="7" t="str">
        <f>IF(A361="","",IFERROR(IF(VLOOKUP(B361,Bibliotheques!$A$10:$B$59,2,FALSE)=0,"Nom manquant",VLOOKUP(B361,Bibliotheques!$A$10:$B$59,2,FALSE)),"Clé inconnue"))</f>
        <v/>
      </c>
      <c r="D361" s="6" t="s">
        <v>29</v>
      </c>
      <c r="E361" s="7" t="str">
        <f t="shared" si="5"/>
        <v/>
      </c>
      <c r="F361" s="6" t="s">
        <v>29</v>
      </c>
      <c r="G361" s="6" t="s">
        <v>29</v>
      </c>
      <c r="H361" s="8" t="str">
        <f>IF(A361="","",Bibliotheques!$B$5&amp;IF(RIGHT(Bibliotheques!$B$5,1)="/","","/")&amp;SUBSTITUTE(A361," ","%20"))</f>
        <v/>
      </c>
      <c r="I361" s="6" t="s">
        <v>29</v>
      </c>
      <c r="J361" s="6" t="s">
        <v>29</v>
      </c>
    </row>
    <row r="362" spans="1:10" ht="33.950000000000003" customHeight="1">
      <c r="A362" s="6" t="s">
        <v>29</v>
      </c>
      <c r="B362" s="6" t="s">
        <v>29</v>
      </c>
      <c r="C362" s="7" t="str">
        <f>IF(A362="","",IFERROR(IF(VLOOKUP(B362,Bibliotheques!$A$10:$B$59,2,FALSE)=0,"Nom manquant",VLOOKUP(B362,Bibliotheques!$A$10:$B$59,2,FALSE)),"Clé inconnue"))</f>
        <v/>
      </c>
      <c r="D362" s="6" t="s">
        <v>29</v>
      </c>
      <c r="E362" s="7" t="str">
        <f t="shared" si="5"/>
        <v/>
      </c>
      <c r="F362" s="6" t="s">
        <v>29</v>
      </c>
      <c r="G362" s="6" t="s">
        <v>29</v>
      </c>
      <c r="H362" s="8" t="str">
        <f>IF(A362="","",Bibliotheques!$B$5&amp;IF(RIGHT(Bibliotheques!$B$5,1)="/","","/")&amp;SUBSTITUTE(A362," ","%20"))</f>
        <v/>
      </c>
      <c r="I362" s="6" t="s">
        <v>29</v>
      </c>
      <c r="J362" s="6" t="s">
        <v>29</v>
      </c>
    </row>
    <row r="363" spans="1:10" ht="33.950000000000003" customHeight="1">
      <c r="A363" s="6" t="s">
        <v>29</v>
      </c>
      <c r="B363" s="6" t="s">
        <v>29</v>
      </c>
      <c r="C363" s="7" t="str">
        <f>IF(A363="","",IFERROR(IF(VLOOKUP(B363,Bibliotheques!$A$10:$B$59,2,FALSE)=0,"Nom manquant",VLOOKUP(B363,Bibliotheques!$A$10:$B$59,2,FALSE)),"Clé inconnue"))</f>
        <v/>
      </c>
      <c r="D363" s="6" t="s">
        <v>29</v>
      </c>
      <c r="E363" s="7" t="str">
        <f t="shared" si="5"/>
        <v/>
      </c>
      <c r="F363" s="6" t="s">
        <v>29</v>
      </c>
      <c r="G363" s="6" t="s">
        <v>29</v>
      </c>
      <c r="H363" s="8" t="str">
        <f>IF(A363="","",Bibliotheques!$B$5&amp;IF(RIGHT(Bibliotheques!$B$5,1)="/","","/")&amp;SUBSTITUTE(A363," ","%20"))</f>
        <v/>
      </c>
      <c r="I363" s="6" t="s">
        <v>29</v>
      </c>
      <c r="J363" s="6" t="s">
        <v>29</v>
      </c>
    </row>
    <row r="364" spans="1:10" ht="33.950000000000003" customHeight="1">
      <c r="A364" s="6" t="s">
        <v>29</v>
      </c>
      <c r="B364" s="6" t="s">
        <v>29</v>
      </c>
      <c r="C364" s="7" t="str">
        <f>IF(A364="","",IFERROR(IF(VLOOKUP(B364,Bibliotheques!$A$10:$B$59,2,FALSE)=0,"Nom manquant",VLOOKUP(B364,Bibliotheques!$A$10:$B$59,2,FALSE)),"Clé inconnue"))</f>
        <v/>
      </c>
      <c r="D364" s="6" t="s">
        <v>29</v>
      </c>
      <c r="E364" s="7" t="str">
        <f t="shared" si="5"/>
        <v/>
      </c>
      <c r="F364" s="6" t="s">
        <v>29</v>
      </c>
      <c r="G364" s="6" t="s">
        <v>29</v>
      </c>
      <c r="H364" s="8" t="str">
        <f>IF(A364="","",Bibliotheques!$B$5&amp;IF(RIGHT(Bibliotheques!$B$5,1)="/","","/")&amp;SUBSTITUTE(A364," ","%20"))</f>
        <v/>
      </c>
      <c r="I364" s="6" t="s">
        <v>29</v>
      </c>
      <c r="J364" s="6" t="s">
        <v>29</v>
      </c>
    </row>
    <row r="365" spans="1:10" ht="33.950000000000003" customHeight="1">
      <c r="A365" s="6" t="s">
        <v>29</v>
      </c>
      <c r="B365" s="6" t="s">
        <v>29</v>
      </c>
      <c r="C365" s="7" t="str">
        <f>IF(A365="","",IFERROR(IF(VLOOKUP(B365,Bibliotheques!$A$10:$B$59,2,FALSE)=0,"Nom manquant",VLOOKUP(B365,Bibliotheques!$A$10:$B$59,2,FALSE)),"Clé inconnue"))</f>
        <v/>
      </c>
      <c r="D365" s="6" t="s">
        <v>29</v>
      </c>
      <c r="E365" s="7" t="str">
        <f t="shared" si="5"/>
        <v/>
      </c>
      <c r="F365" s="6" t="s">
        <v>29</v>
      </c>
      <c r="G365" s="6" t="s">
        <v>29</v>
      </c>
      <c r="H365" s="8" t="str">
        <f>IF(A365="","",Bibliotheques!$B$5&amp;IF(RIGHT(Bibliotheques!$B$5,1)="/","","/")&amp;SUBSTITUTE(A365," ","%20"))</f>
        <v/>
      </c>
      <c r="I365" s="6" t="s">
        <v>29</v>
      </c>
      <c r="J365" s="6" t="s">
        <v>29</v>
      </c>
    </row>
    <row r="366" spans="1:10" ht="33.950000000000003" customHeight="1">
      <c r="A366" s="6" t="s">
        <v>29</v>
      </c>
      <c r="B366" s="6" t="s">
        <v>29</v>
      </c>
      <c r="C366" s="7" t="str">
        <f>IF(A366="","",IFERROR(IF(VLOOKUP(B366,Bibliotheques!$A$10:$B$59,2,FALSE)=0,"Nom manquant",VLOOKUP(B366,Bibliotheques!$A$10:$B$59,2,FALSE)),"Clé inconnue"))</f>
        <v/>
      </c>
      <c r="D366" s="6" t="s">
        <v>29</v>
      </c>
      <c r="E366" s="7" t="str">
        <f t="shared" si="5"/>
        <v/>
      </c>
      <c r="F366" s="6" t="s">
        <v>29</v>
      </c>
      <c r="G366" s="6" t="s">
        <v>29</v>
      </c>
      <c r="H366" s="8" t="str">
        <f>IF(A366="","",Bibliotheques!$B$5&amp;IF(RIGHT(Bibliotheques!$B$5,1)="/","","/")&amp;SUBSTITUTE(A366," ","%20"))</f>
        <v/>
      </c>
      <c r="I366" s="6" t="s">
        <v>29</v>
      </c>
      <c r="J366" s="6" t="s">
        <v>29</v>
      </c>
    </row>
    <row r="367" spans="1:10" ht="33.950000000000003" customHeight="1">
      <c r="A367" s="6" t="s">
        <v>29</v>
      </c>
      <c r="B367" s="6" t="s">
        <v>29</v>
      </c>
      <c r="C367" s="7" t="str">
        <f>IF(A367="","",IFERROR(IF(VLOOKUP(B367,Bibliotheques!$A$10:$B$59,2,FALSE)=0,"Nom manquant",VLOOKUP(B367,Bibliotheques!$A$10:$B$59,2,FALSE)),"Clé inconnue"))</f>
        <v/>
      </c>
      <c r="D367" s="6" t="s">
        <v>29</v>
      </c>
      <c r="E367" s="7" t="str">
        <f t="shared" si="5"/>
        <v/>
      </c>
      <c r="F367" s="6" t="s">
        <v>29</v>
      </c>
      <c r="G367" s="6" t="s">
        <v>29</v>
      </c>
      <c r="H367" s="8" t="str">
        <f>IF(A367="","",Bibliotheques!$B$5&amp;IF(RIGHT(Bibliotheques!$B$5,1)="/","","/")&amp;SUBSTITUTE(A367," ","%20"))</f>
        <v/>
      </c>
      <c r="I367" s="6" t="s">
        <v>29</v>
      </c>
      <c r="J367" s="6" t="s">
        <v>29</v>
      </c>
    </row>
    <row r="368" spans="1:10" ht="33.950000000000003" customHeight="1">
      <c r="A368" s="6" t="s">
        <v>29</v>
      </c>
      <c r="B368" s="6" t="s">
        <v>29</v>
      </c>
      <c r="C368" s="7" t="str">
        <f>IF(A368="","",IFERROR(IF(VLOOKUP(B368,Bibliotheques!$A$10:$B$59,2,FALSE)=0,"Nom manquant",VLOOKUP(B368,Bibliotheques!$A$10:$B$59,2,FALSE)),"Clé inconnue"))</f>
        <v/>
      </c>
      <c r="D368" s="6" t="s">
        <v>29</v>
      </c>
      <c r="E368" s="7" t="str">
        <f t="shared" si="5"/>
        <v/>
      </c>
      <c r="F368" s="6" t="s">
        <v>29</v>
      </c>
      <c r="G368" s="6" t="s">
        <v>29</v>
      </c>
      <c r="H368" s="8" t="str">
        <f>IF(A368="","",Bibliotheques!$B$5&amp;IF(RIGHT(Bibliotheques!$B$5,1)="/","","/")&amp;SUBSTITUTE(A368," ","%20"))</f>
        <v/>
      </c>
      <c r="I368" s="6" t="s">
        <v>29</v>
      </c>
      <c r="J368" s="6" t="s">
        <v>29</v>
      </c>
    </row>
    <row r="369" spans="1:10" ht="33.950000000000003" customHeight="1">
      <c r="A369" s="6" t="s">
        <v>29</v>
      </c>
      <c r="B369" s="6" t="s">
        <v>29</v>
      </c>
      <c r="C369" s="7" t="str">
        <f>IF(A369="","",IFERROR(IF(VLOOKUP(B369,Bibliotheques!$A$10:$B$59,2,FALSE)=0,"Nom manquant",VLOOKUP(B369,Bibliotheques!$A$10:$B$59,2,FALSE)),"Clé inconnue"))</f>
        <v/>
      </c>
      <c r="D369" s="6" t="s">
        <v>29</v>
      </c>
      <c r="E369" s="7" t="str">
        <f t="shared" si="5"/>
        <v/>
      </c>
      <c r="F369" s="6" t="s">
        <v>29</v>
      </c>
      <c r="G369" s="6" t="s">
        <v>29</v>
      </c>
      <c r="H369" s="8" t="str">
        <f>IF(A369="","",Bibliotheques!$B$5&amp;IF(RIGHT(Bibliotheques!$B$5,1)="/","","/")&amp;SUBSTITUTE(A369," ","%20"))</f>
        <v/>
      </c>
      <c r="I369" s="6" t="s">
        <v>29</v>
      </c>
      <c r="J369" s="6" t="s">
        <v>29</v>
      </c>
    </row>
    <row r="370" spans="1:10" ht="33.950000000000003" customHeight="1">
      <c r="A370" s="6" t="s">
        <v>29</v>
      </c>
      <c r="B370" s="6" t="s">
        <v>29</v>
      </c>
      <c r="C370" s="7" t="str">
        <f>IF(A370="","",IFERROR(IF(VLOOKUP(B370,Bibliotheques!$A$10:$B$59,2,FALSE)=0,"Nom manquant",VLOOKUP(B370,Bibliotheques!$A$10:$B$59,2,FALSE)),"Clé inconnue"))</f>
        <v/>
      </c>
      <c r="D370" s="6" t="s">
        <v>29</v>
      </c>
      <c r="E370" s="7" t="str">
        <f t="shared" si="5"/>
        <v/>
      </c>
      <c r="F370" s="6" t="s">
        <v>29</v>
      </c>
      <c r="G370" s="6" t="s">
        <v>29</v>
      </c>
      <c r="H370" s="8" t="str">
        <f>IF(A370="","",Bibliotheques!$B$5&amp;IF(RIGHT(Bibliotheques!$B$5,1)="/","","/")&amp;SUBSTITUTE(A370," ","%20"))</f>
        <v/>
      </c>
      <c r="I370" s="6" t="s">
        <v>29</v>
      </c>
      <c r="J370" s="6" t="s">
        <v>29</v>
      </c>
    </row>
    <row r="371" spans="1:10" ht="33.950000000000003" customHeight="1">
      <c r="A371" s="6" t="s">
        <v>29</v>
      </c>
      <c r="B371" s="6" t="s">
        <v>29</v>
      </c>
      <c r="C371" s="7" t="str">
        <f>IF(A371="","",IFERROR(IF(VLOOKUP(B371,Bibliotheques!$A$10:$B$59,2,FALSE)=0,"Nom manquant",VLOOKUP(B371,Bibliotheques!$A$10:$B$59,2,FALSE)),"Clé inconnue"))</f>
        <v/>
      </c>
      <c r="D371" s="6" t="s">
        <v>29</v>
      </c>
      <c r="E371" s="7" t="str">
        <f t="shared" si="5"/>
        <v/>
      </c>
      <c r="F371" s="6" t="s">
        <v>29</v>
      </c>
      <c r="G371" s="6" t="s">
        <v>29</v>
      </c>
      <c r="H371" s="8" t="str">
        <f>IF(A371="","",Bibliotheques!$B$5&amp;IF(RIGHT(Bibliotheques!$B$5,1)="/","","/")&amp;SUBSTITUTE(A371," ","%20"))</f>
        <v/>
      </c>
      <c r="I371" s="6" t="s">
        <v>29</v>
      </c>
      <c r="J371" s="6" t="s">
        <v>29</v>
      </c>
    </row>
    <row r="372" spans="1:10" ht="33.950000000000003" customHeight="1">
      <c r="A372" s="6" t="s">
        <v>29</v>
      </c>
      <c r="B372" s="6" t="s">
        <v>29</v>
      </c>
      <c r="C372" s="7" t="str">
        <f>IF(A372="","",IFERROR(IF(VLOOKUP(B372,Bibliotheques!$A$10:$B$59,2,FALSE)=0,"Nom manquant",VLOOKUP(B372,Bibliotheques!$A$10:$B$59,2,FALSE)),"Clé inconnue"))</f>
        <v/>
      </c>
      <c r="D372" s="6" t="s">
        <v>29</v>
      </c>
      <c r="E372" s="7" t="str">
        <f t="shared" si="5"/>
        <v/>
      </c>
      <c r="F372" s="6" t="s">
        <v>29</v>
      </c>
      <c r="G372" s="6" t="s">
        <v>29</v>
      </c>
      <c r="H372" s="8" t="str">
        <f>IF(A372="","",Bibliotheques!$B$5&amp;IF(RIGHT(Bibliotheques!$B$5,1)="/","","/")&amp;SUBSTITUTE(A372," ","%20"))</f>
        <v/>
      </c>
      <c r="I372" s="6" t="s">
        <v>29</v>
      </c>
      <c r="J372" s="6" t="s">
        <v>29</v>
      </c>
    </row>
    <row r="373" spans="1:10" ht="33.950000000000003" customHeight="1">
      <c r="A373" s="6" t="s">
        <v>29</v>
      </c>
      <c r="B373" s="6" t="s">
        <v>29</v>
      </c>
      <c r="C373" s="7" t="str">
        <f>IF(A373="","",IFERROR(IF(VLOOKUP(B373,Bibliotheques!$A$10:$B$59,2,FALSE)=0,"Nom manquant",VLOOKUP(B373,Bibliotheques!$A$10:$B$59,2,FALSE)),"Clé inconnue"))</f>
        <v/>
      </c>
      <c r="D373" s="6" t="s">
        <v>29</v>
      </c>
      <c r="E373" s="7" t="str">
        <f t="shared" si="5"/>
        <v/>
      </c>
      <c r="F373" s="6" t="s">
        <v>29</v>
      </c>
      <c r="G373" s="6" t="s">
        <v>29</v>
      </c>
      <c r="H373" s="8" t="str">
        <f>IF(A373="","",Bibliotheques!$B$5&amp;IF(RIGHT(Bibliotheques!$B$5,1)="/","","/")&amp;SUBSTITUTE(A373," ","%20"))</f>
        <v/>
      </c>
      <c r="I373" s="6" t="s">
        <v>29</v>
      </c>
      <c r="J373" s="6" t="s">
        <v>29</v>
      </c>
    </row>
    <row r="374" spans="1:10" ht="33.950000000000003" customHeight="1">
      <c r="A374" s="6" t="s">
        <v>29</v>
      </c>
      <c r="B374" s="6" t="s">
        <v>29</v>
      </c>
      <c r="C374" s="7" t="str">
        <f>IF(A374="","",IFERROR(IF(VLOOKUP(B374,Bibliotheques!$A$10:$B$59,2,FALSE)=0,"Nom manquant",VLOOKUP(B374,Bibliotheques!$A$10:$B$59,2,FALSE)),"Clé inconnue"))</f>
        <v/>
      </c>
      <c r="D374" s="6" t="s">
        <v>29</v>
      </c>
      <c r="E374" s="7" t="str">
        <f t="shared" si="5"/>
        <v/>
      </c>
      <c r="F374" s="6" t="s">
        <v>29</v>
      </c>
      <c r="G374" s="6" t="s">
        <v>29</v>
      </c>
      <c r="H374" s="8" t="str">
        <f>IF(A374="","",Bibliotheques!$B$5&amp;IF(RIGHT(Bibliotheques!$B$5,1)="/","","/")&amp;SUBSTITUTE(A374," ","%20"))</f>
        <v/>
      </c>
      <c r="I374" s="6" t="s">
        <v>29</v>
      </c>
      <c r="J374" s="6" t="s">
        <v>29</v>
      </c>
    </row>
    <row r="375" spans="1:10" ht="33.950000000000003" customHeight="1">
      <c r="A375" s="6" t="s">
        <v>29</v>
      </c>
      <c r="B375" s="6" t="s">
        <v>29</v>
      </c>
      <c r="C375" s="7" t="str">
        <f>IF(A375="","",IFERROR(IF(VLOOKUP(B375,Bibliotheques!$A$10:$B$59,2,FALSE)=0,"Nom manquant",VLOOKUP(B375,Bibliotheques!$A$10:$B$59,2,FALSE)),"Clé inconnue"))</f>
        <v/>
      </c>
      <c r="D375" s="6" t="s">
        <v>29</v>
      </c>
      <c r="E375" s="7" t="str">
        <f t="shared" si="5"/>
        <v/>
      </c>
      <c r="F375" s="6" t="s">
        <v>29</v>
      </c>
      <c r="G375" s="6" t="s">
        <v>29</v>
      </c>
      <c r="H375" s="8" t="str">
        <f>IF(A375="","",Bibliotheques!$B$5&amp;IF(RIGHT(Bibliotheques!$B$5,1)="/","","/")&amp;SUBSTITUTE(A375," ","%20"))</f>
        <v/>
      </c>
      <c r="I375" s="6" t="s">
        <v>29</v>
      </c>
      <c r="J375" s="6" t="s">
        <v>29</v>
      </c>
    </row>
    <row r="376" spans="1:10" ht="33.950000000000003" customHeight="1">
      <c r="A376" s="6" t="s">
        <v>29</v>
      </c>
      <c r="B376" s="6" t="s">
        <v>29</v>
      </c>
      <c r="C376" s="7" t="str">
        <f>IF(A376="","",IFERROR(IF(VLOOKUP(B376,Bibliotheques!$A$10:$B$59,2,FALSE)=0,"Nom manquant",VLOOKUP(B376,Bibliotheques!$A$10:$B$59,2,FALSE)),"Clé inconnue"))</f>
        <v/>
      </c>
      <c r="D376" s="6" t="s">
        <v>29</v>
      </c>
      <c r="E376" s="7" t="str">
        <f t="shared" si="5"/>
        <v/>
      </c>
      <c r="F376" s="6" t="s">
        <v>29</v>
      </c>
      <c r="G376" s="6" t="s">
        <v>29</v>
      </c>
      <c r="H376" s="8" t="str">
        <f>IF(A376="","",Bibliotheques!$B$5&amp;IF(RIGHT(Bibliotheques!$B$5,1)="/","","/")&amp;SUBSTITUTE(A376," ","%20"))</f>
        <v/>
      </c>
      <c r="I376" s="6" t="s">
        <v>29</v>
      </c>
      <c r="J376" s="6" t="s">
        <v>29</v>
      </c>
    </row>
    <row r="377" spans="1:10" ht="33.950000000000003" customHeight="1">
      <c r="A377" s="6" t="s">
        <v>29</v>
      </c>
      <c r="B377" s="6" t="s">
        <v>29</v>
      </c>
      <c r="C377" s="7" t="str">
        <f>IF(A377="","",IFERROR(IF(VLOOKUP(B377,Bibliotheques!$A$10:$B$59,2,FALSE)=0,"Nom manquant",VLOOKUP(B377,Bibliotheques!$A$10:$B$59,2,FALSE)),"Clé inconnue"))</f>
        <v/>
      </c>
      <c r="D377" s="6" t="s">
        <v>29</v>
      </c>
      <c r="E377" s="7" t="str">
        <f t="shared" si="5"/>
        <v/>
      </c>
      <c r="F377" s="6" t="s">
        <v>29</v>
      </c>
      <c r="G377" s="6" t="s">
        <v>29</v>
      </c>
      <c r="H377" s="8" t="str">
        <f>IF(A377="","",Bibliotheques!$B$5&amp;IF(RIGHT(Bibliotheques!$B$5,1)="/","","/")&amp;SUBSTITUTE(A377," ","%20"))</f>
        <v/>
      </c>
      <c r="I377" s="6" t="s">
        <v>29</v>
      </c>
      <c r="J377" s="6" t="s">
        <v>29</v>
      </c>
    </row>
    <row r="378" spans="1:10" ht="33.950000000000003" customHeight="1">
      <c r="A378" s="6" t="s">
        <v>29</v>
      </c>
      <c r="B378" s="6" t="s">
        <v>29</v>
      </c>
      <c r="C378" s="7" t="str">
        <f>IF(A378="","",IFERROR(IF(VLOOKUP(B378,Bibliotheques!$A$10:$B$59,2,FALSE)=0,"Nom manquant",VLOOKUP(B378,Bibliotheques!$A$10:$B$59,2,FALSE)),"Clé inconnue"))</f>
        <v/>
      </c>
      <c r="D378" s="6" t="s">
        <v>29</v>
      </c>
      <c r="E378" s="7" t="str">
        <f t="shared" si="5"/>
        <v/>
      </c>
      <c r="F378" s="6" t="s">
        <v>29</v>
      </c>
      <c r="G378" s="6" t="s">
        <v>29</v>
      </c>
      <c r="H378" s="8" t="str">
        <f>IF(A378="","",Bibliotheques!$B$5&amp;IF(RIGHT(Bibliotheques!$B$5,1)="/","","/")&amp;SUBSTITUTE(A378," ","%20"))</f>
        <v/>
      </c>
      <c r="I378" s="6" t="s">
        <v>29</v>
      </c>
      <c r="J378" s="6" t="s">
        <v>29</v>
      </c>
    </row>
    <row r="379" spans="1:10" ht="33.950000000000003" customHeight="1">
      <c r="A379" s="6" t="s">
        <v>29</v>
      </c>
      <c r="B379" s="6" t="s">
        <v>29</v>
      </c>
      <c r="C379" s="7" t="str">
        <f>IF(A379="","",IFERROR(IF(VLOOKUP(B379,Bibliotheques!$A$10:$B$59,2,FALSE)=0,"Nom manquant",VLOOKUP(B379,Bibliotheques!$A$10:$B$59,2,FALSE)),"Clé inconnue"))</f>
        <v/>
      </c>
      <c r="D379" s="6" t="s">
        <v>29</v>
      </c>
      <c r="E379" s="7" t="str">
        <f t="shared" si="5"/>
        <v/>
      </c>
      <c r="F379" s="6" t="s">
        <v>29</v>
      </c>
      <c r="G379" s="6" t="s">
        <v>29</v>
      </c>
      <c r="H379" s="8" t="str">
        <f>IF(A379="","",Bibliotheques!$B$5&amp;IF(RIGHT(Bibliotheques!$B$5,1)="/","","/")&amp;SUBSTITUTE(A379," ","%20"))</f>
        <v/>
      </c>
      <c r="I379" s="6" t="s">
        <v>29</v>
      </c>
      <c r="J379" s="6" t="s">
        <v>29</v>
      </c>
    </row>
    <row r="380" spans="1:10" ht="33.950000000000003" customHeight="1">
      <c r="A380" s="6" t="s">
        <v>29</v>
      </c>
      <c r="B380" s="6" t="s">
        <v>29</v>
      </c>
      <c r="C380" s="7" t="str">
        <f>IF(A380="","",IFERROR(IF(VLOOKUP(B380,Bibliotheques!$A$10:$B$59,2,FALSE)=0,"Nom manquant",VLOOKUP(B380,Bibliotheques!$A$10:$B$59,2,FALSE)),"Clé inconnue"))</f>
        <v/>
      </c>
      <c r="D380" s="6" t="s">
        <v>29</v>
      </c>
      <c r="E380" s="7" t="str">
        <f t="shared" si="5"/>
        <v/>
      </c>
      <c r="F380" s="6" t="s">
        <v>29</v>
      </c>
      <c r="G380" s="6" t="s">
        <v>29</v>
      </c>
      <c r="H380" s="8" t="str">
        <f>IF(A380="","",Bibliotheques!$B$5&amp;IF(RIGHT(Bibliotheques!$B$5,1)="/","","/")&amp;SUBSTITUTE(A380," ","%20"))</f>
        <v/>
      </c>
      <c r="I380" s="6" t="s">
        <v>29</v>
      </c>
      <c r="J380" s="6" t="s">
        <v>29</v>
      </c>
    </row>
    <row r="381" spans="1:10" ht="33.950000000000003" customHeight="1">
      <c r="A381" s="6" t="s">
        <v>29</v>
      </c>
      <c r="B381" s="6" t="s">
        <v>29</v>
      </c>
      <c r="C381" s="7" t="str">
        <f>IF(A381="","",IFERROR(IF(VLOOKUP(B381,Bibliotheques!$A$10:$B$59,2,FALSE)=0,"Nom manquant",VLOOKUP(B381,Bibliotheques!$A$10:$B$59,2,FALSE)),"Clé inconnue"))</f>
        <v/>
      </c>
      <c r="D381" s="6" t="s">
        <v>29</v>
      </c>
      <c r="E381" s="7" t="str">
        <f t="shared" si="5"/>
        <v/>
      </c>
      <c r="F381" s="6" t="s">
        <v>29</v>
      </c>
      <c r="G381" s="6" t="s">
        <v>29</v>
      </c>
      <c r="H381" s="8" t="str">
        <f>IF(A381="","",Bibliotheques!$B$5&amp;IF(RIGHT(Bibliotheques!$B$5,1)="/","","/")&amp;SUBSTITUTE(A381," ","%20"))</f>
        <v/>
      </c>
      <c r="I381" s="6" t="s">
        <v>29</v>
      </c>
      <c r="J381" s="6" t="s">
        <v>29</v>
      </c>
    </row>
    <row r="382" spans="1:10" ht="33.950000000000003" customHeight="1">
      <c r="A382" s="6" t="s">
        <v>29</v>
      </c>
      <c r="B382" s="6" t="s">
        <v>29</v>
      </c>
      <c r="C382" s="7" t="str">
        <f>IF(A382="","",IFERROR(IF(VLOOKUP(B382,Bibliotheques!$A$10:$B$59,2,FALSE)=0,"Nom manquant",VLOOKUP(B382,Bibliotheques!$A$10:$B$59,2,FALSE)),"Clé inconnue"))</f>
        <v/>
      </c>
      <c r="D382" s="6" t="s">
        <v>29</v>
      </c>
      <c r="E382" s="7" t="str">
        <f t="shared" si="5"/>
        <v/>
      </c>
      <c r="F382" s="6" t="s">
        <v>29</v>
      </c>
      <c r="G382" s="6" t="s">
        <v>29</v>
      </c>
      <c r="H382" s="8" t="str">
        <f>IF(A382="","",Bibliotheques!$B$5&amp;IF(RIGHT(Bibliotheques!$B$5,1)="/","","/")&amp;SUBSTITUTE(A382," ","%20"))</f>
        <v/>
      </c>
      <c r="I382" s="6" t="s">
        <v>29</v>
      </c>
      <c r="J382" s="6" t="s">
        <v>29</v>
      </c>
    </row>
    <row r="383" spans="1:10" ht="33.950000000000003" customHeight="1">
      <c r="A383" s="6" t="s">
        <v>29</v>
      </c>
      <c r="B383" s="6" t="s">
        <v>29</v>
      </c>
      <c r="C383" s="7" t="str">
        <f>IF(A383="","",IFERROR(IF(VLOOKUP(B383,Bibliotheques!$A$10:$B$59,2,FALSE)=0,"Nom manquant",VLOOKUP(B383,Bibliotheques!$A$10:$B$59,2,FALSE)),"Clé inconnue"))</f>
        <v/>
      </c>
      <c r="D383" s="6" t="s">
        <v>29</v>
      </c>
      <c r="E383" s="7" t="str">
        <f t="shared" si="5"/>
        <v/>
      </c>
      <c r="F383" s="6" t="s">
        <v>29</v>
      </c>
      <c r="G383" s="6" t="s">
        <v>29</v>
      </c>
      <c r="H383" s="8" t="str">
        <f>IF(A383="","",Bibliotheques!$B$5&amp;IF(RIGHT(Bibliotheques!$B$5,1)="/","","/")&amp;SUBSTITUTE(A383," ","%20"))</f>
        <v/>
      </c>
      <c r="I383" s="6" t="s">
        <v>29</v>
      </c>
      <c r="J383" s="6" t="s">
        <v>29</v>
      </c>
    </row>
    <row r="384" spans="1:10" ht="33.950000000000003" customHeight="1">
      <c r="A384" s="6" t="s">
        <v>29</v>
      </c>
      <c r="B384" s="6" t="s">
        <v>29</v>
      </c>
      <c r="C384" s="7" t="str">
        <f>IF(A384="","",IFERROR(IF(VLOOKUP(B384,Bibliotheques!$A$10:$B$59,2,FALSE)=0,"Nom manquant",VLOOKUP(B384,Bibliotheques!$A$10:$B$59,2,FALSE)),"Clé inconnue"))</f>
        <v/>
      </c>
      <c r="D384" s="6" t="s">
        <v>29</v>
      </c>
      <c r="E384" s="7" t="str">
        <f t="shared" si="5"/>
        <v/>
      </c>
      <c r="F384" s="6" t="s">
        <v>29</v>
      </c>
      <c r="G384" s="6" t="s">
        <v>29</v>
      </c>
      <c r="H384" s="8" t="str">
        <f>IF(A384="","",Bibliotheques!$B$5&amp;IF(RIGHT(Bibliotheques!$B$5,1)="/","","/")&amp;SUBSTITUTE(A384," ","%20"))</f>
        <v/>
      </c>
      <c r="I384" s="6" t="s">
        <v>29</v>
      </c>
      <c r="J384" s="6" t="s">
        <v>29</v>
      </c>
    </row>
    <row r="385" spans="1:10" ht="33.950000000000003" customHeight="1">
      <c r="A385" s="6" t="s">
        <v>29</v>
      </c>
      <c r="B385" s="6" t="s">
        <v>29</v>
      </c>
      <c r="C385" s="7" t="str">
        <f>IF(A385="","",IFERROR(IF(VLOOKUP(B385,Bibliotheques!$A$10:$B$59,2,FALSE)=0,"Nom manquant",VLOOKUP(B385,Bibliotheques!$A$10:$B$59,2,FALSE)),"Clé inconnue"))</f>
        <v/>
      </c>
      <c r="D385" s="6" t="s">
        <v>29</v>
      </c>
      <c r="E385" s="7" t="str">
        <f t="shared" si="5"/>
        <v/>
      </c>
      <c r="F385" s="6" t="s">
        <v>29</v>
      </c>
      <c r="G385" s="6" t="s">
        <v>29</v>
      </c>
      <c r="H385" s="8" t="str">
        <f>IF(A385="","",Bibliotheques!$B$5&amp;IF(RIGHT(Bibliotheques!$B$5,1)="/","","/")&amp;SUBSTITUTE(A385," ","%20"))</f>
        <v/>
      </c>
      <c r="I385" s="6" t="s">
        <v>29</v>
      </c>
      <c r="J385" s="6" t="s">
        <v>29</v>
      </c>
    </row>
    <row r="386" spans="1:10" ht="33.950000000000003" customHeight="1">
      <c r="A386" s="6" t="s">
        <v>29</v>
      </c>
      <c r="B386" s="6" t="s">
        <v>29</v>
      </c>
      <c r="C386" s="7" t="str">
        <f>IF(A386="","",IFERROR(IF(VLOOKUP(B386,Bibliotheques!$A$10:$B$59,2,FALSE)=0,"Nom manquant",VLOOKUP(B386,Bibliotheques!$A$10:$B$59,2,FALSE)),"Clé inconnue"))</f>
        <v/>
      </c>
      <c r="D386" s="6" t="s">
        <v>29</v>
      </c>
      <c r="E386" s="7" t="str">
        <f t="shared" si="5"/>
        <v/>
      </c>
      <c r="F386" s="6" t="s">
        <v>29</v>
      </c>
      <c r="G386" s="6" t="s">
        <v>29</v>
      </c>
      <c r="H386" s="8" t="str">
        <f>IF(A386="","",Bibliotheques!$B$5&amp;IF(RIGHT(Bibliotheques!$B$5,1)="/","","/")&amp;SUBSTITUTE(A386," ","%20"))</f>
        <v/>
      </c>
      <c r="I386" s="6" t="s">
        <v>29</v>
      </c>
      <c r="J386" s="6" t="s">
        <v>29</v>
      </c>
    </row>
    <row r="387" spans="1:10" ht="33.950000000000003" customHeight="1">
      <c r="A387" s="6" t="s">
        <v>29</v>
      </c>
      <c r="B387" s="6" t="s">
        <v>29</v>
      </c>
      <c r="C387" s="7" t="str">
        <f>IF(A387="","",IFERROR(IF(VLOOKUP(B387,Bibliotheques!$A$10:$B$59,2,FALSE)=0,"Nom manquant",VLOOKUP(B387,Bibliotheques!$A$10:$B$59,2,FALSE)),"Clé inconnue"))</f>
        <v/>
      </c>
      <c r="D387" s="6" t="s">
        <v>29</v>
      </c>
      <c r="E387" s="7" t="str">
        <f t="shared" si="5"/>
        <v/>
      </c>
      <c r="F387" s="6" t="s">
        <v>29</v>
      </c>
      <c r="G387" s="6" t="s">
        <v>29</v>
      </c>
      <c r="H387" s="8" t="str">
        <f>IF(A387="","",Bibliotheques!$B$5&amp;IF(RIGHT(Bibliotheques!$B$5,1)="/","","/")&amp;SUBSTITUTE(A387," ","%20"))</f>
        <v/>
      </c>
      <c r="I387" s="6" t="s">
        <v>29</v>
      </c>
      <c r="J387" s="6" t="s">
        <v>29</v>
      </c>
    </row>
    <row r="388" spans="1:10" ht="33.950000000000003" customHeight="1">
      <c r="A388" s="6" t="s">
        <v>29</v>
      </c>
      <c r="B388" s="6" t="s">
        <v>29</v>
      </c>
      <c r="C388" s="7" t="str">
        <f>IF(A388="","",IFERROR(IF(VLOOKUP(B388,Bibliotheques!$A$10:$B$59,2,FALSE)=0,"Nom manquant",VLOOKUP(B388,Bibliotheques!$A$10:$B$59,2,FALSE)),"Clé inconnue"))</f>
        <v/>
      </c>
      <c r="D388" s="6" t="s">
        <v>29</v>
      </c>
      <c r="E388" s="7" t="str">
        <f t="shared" si="5"/>
        <v/>
      </c>
      <c r="F388" s="6" t="s">
        <v>29</v>
      </c>
      <c r="G388" s="6" t="s">
        <v>29</v>
      </c>
      <c r="H388" s="8" t="str">
        <f>IF(A388="","",Bibliotheques!$B$5&amp;IF(RIGHT(Bibliotheques!$B$5,1)="/","","/")&amp;SUBSTITUTE(A388," ","%20"))</f>
        <v/>
      </c>
      <c r="I388" s="6" t="s">
        <v>29</v>
      </c>
      <c r="J388" s="6" t="s">
        <v>29</v>
      </c>
    </row>
    <row r="389" spans="1:10" ht="33.950000000000003" customHeight="1">
      <c r="A389" s="6" t="s">
        <v>29</v>
      </c>
      <c r="B389" s="6" t="s">
        <v>29</v>
      </c>
      <c r="C389" s="7" t="str">
        <f>IF(A389="","",IFERROR(IF(VLOOKUP(B389,Bibliotheques!$A$10:$B$59,2,FALSE)=0,"Nom manquant",VLOOKUP(B389,Bibliotheques!$A$10:$B$59,2,FALSE)),"Clé inconnue"))</f>
        <v/>
      </c>
      <c r="D389" s="6" t="s">
        <v>29</v>
      </c>
      <c r="E389" s="7" t="str">
        <f t="shared" si="5"/>
        <v/>
      </c>
      <c r="F389" s="6" t="s">
        <v>29</v>
      </c>
      <c r="G389" s="6" t="s">
        <v>29</v>
      </c>
      <c r="H389" s="8" t="str">
        <f>IF(A389="","",Bibliotheques!$B$5&amp;IF(RIGHT(Bibliotheques!$B$5,1)="/","","/")&amp;SUBSTITUTE(A389," ","%20"))</f>
        <v/>
      </c>
      <c r="I389" s="6" t="s">
        <v>29</v>
      </c>
      <c r="J389" s="6" t="s">
        <v>29</v>
      </c>
    </row>
    <row r="390" spans="1:10" ht="33.950000000000003" customHeight="1">
      <c r="A390" s="6" t="s">
        <v>29</v>
      </c>
      <c r="B390" s="6" t="s">
        <v>29</v>
      </c>
      <c r="C390" s="7" t="str">
        <f>IF(A390="","",IFERROR(IF(VLOOKUP(B390,Bibliotheques!$A$10:$B$59,2,FALSE)=0,"Nom manquant",VLOOKUP(B390,Bibliotheques!$A$10:$B$59,2,FALSE)),"Clé inconnue"))</f>
        <v/>
      </c>
      <c r="D390" s="6" t="s">
        <v>29</v>
      </c>
      <c r="E390" s="7" t="str">
        <f t="shared" ref="E390:E453" si="6">IF(A390="","",LOWER(B390&amp;"-"&amp;SUBSTITUTE(SUBSTITUTE(SUBSTITUTE(LOWER(A390),".svg","")," ","-"),"/","-")))</f>
        <v/>
      </c>
      <c r="F390" s="6" t="s">
        <v>29</v>
      </c>
      <c r="G390" s="6" t="s">
        <v>29</v>
      </c>
      <c r="H390" s="8" t="str">
        <f>IF(A390="","",Bibliotheques!$B$5&amp;IF(RIGHT(Bibliotheques!$B$5,1)="/","","/")&amp;SUBSTITUTE(A390," ","%20"))</f>
        <v/>
      </c>
      <c r="I390" s="6" t="s">
        <v>29</v>
      </c>
      <c r="J390" s="6" t="s">
        <v>29</v>
      </c>
    </row>
    <row r="391" spans="1:10" ht="33.950000000000003" customHeight="1">
      <c r="A391" s="6" t="s">
        <v>29</v>
      </c>
      <c r="B391" s="6" t="s">
        <v>29</v>
      </c>
      <c r="C391" s="7" t="str">
        <f>IF(A391="","",IFERROR(IF(VLOOKUP(B391,Bibliotheques!$A$10:$B$59,2,FALSE)=0,"Nom manquant",VLOOKUP(B391,Bibliotheques!$A$10:$B$59,2,FALSE)),"Clé inconnue"))</f>
        <v/>
      </c>
      <c r="D391" s="6" t="s">
        <v>29</v>
      </c>
      <c r="E391" s="7" t="str">
        <f t="shared" si="6"/>
        <v/>
      </c>
      <c r="F391" s="6" t="s">
        <v>29</v>
      </c>
      <c r="G391" s="6" t="s">
        <v>29</v>
      </c>
      <c r="H391" s="8" t="str">
        <f>IF(A391="","",Bibliotheques!$B$5&amp;IF(RIGHT(Bibliotheques!$B$5,1)="/","","/")&amp;SUBSTITUTE(A391," ","%20"))</f>
        <v/>
      </c>
      <c r="I391" s="6" t="s">
        <v>29</v>
      </c>
      <c r="J391" s="6" t="s">
        <v>29</v>
      </c>
    </row>
    <row r="392" spans="1:10" ht="33.950000000000003" customHeight="1">
      <c r="A392" s="6" t="s">
        <v>29</v>
      </c>
      <c r="B392" s="6" t="s">
        <v>29</v>
      </c>
      <c r="C392" s="7" t="str">
        <f>IF(A392="","",IFERROR(IF(VLOOKUP(B392,Bibliotheques!$A$10:$B$59,2,FALSE)=0,"Nom manquant",VLOOKUP(B392,Bibliotheques!$A$10:$B$59,2,FALSE)),"Clé inconnue"))</f>
        <v/>
      </c>
      <c r="D392" s="6" t="s">
        <v>29</v>
      </c>
      <c r="E392" s="7" t="str">
        <f t="shared" si="6"/>
        <v/>
      </c>
      <c r="F392" s="6" t="s">
        <v>29</v>
      </c>
      <c r="G392" s="6" t="s">
        <v>29</v>
      </c>
      <c r="H392" s="8" t="str">
        <f>IF(A392="","",Bibliotheques!$B$5&amp;IF(RIGHT(Bibliotheques!$B$5,1)="/","","/")&amp;SUBSTITUTE(A392," ","%20"))</f>
        <v/>
      </c>
      <c r="I392" s="6" t="s">
        <v>29</v>
      </c>
      <c r="J392" s="6" t="s">
        <v>29</v>
      </c>
    </row>
    <row r="393" spans="1:10" ht="33.950000000000003" customHeight="1">
      <c r="A393" s="6" t="s">
        <v>29</v>
      </c>
      <c r="B393" s="6" t="s">
        <v>29</v>
      </c>
      <c r="C393" s="7" t="str">
        <f>IF(A393="","",IFERROR(IF(VLOOKUP(B393,Bibliotheques!$A$10:$B$59,2,FALSE)=0,"Nom manquant",VLOOKUP(B393,Bibliotheques!$A$10:$B$59,2,FALSE)),"Clé inconnue"))</f>
        <v/>
      </c>
      <c r="D393" s="6" t="s">
        <v>29</v>
      </c>
      <c r="E393" s="7" t="str">
        <f t="shared" si="6"/>
        <v/>
      </c>
      <c r="F393" s="6" t="s">
        <v>29</v>
      </c>
      <c r="G393" s="6" t="s">
        <v>29</v>
      </c>
      <c r="H393" s="8" t="str">
        <f>IF(A393="","",Bibliotheques!$B$5&amp;IF(RIGHT(Bibliotheques!$B$5,1)="/","","/")&amp;SUBSTITUTE(A393," ","%20"))</f>
        <v/>
      </c>
      <c r="I393" s="6" t="s">
        <v>29</v>
      </c>
      <c r="J393" s="6" t="s">
        <v>29</v>
      </c>
    </row>
    <row r="394" spans="1:10" ht="33.950000000000003" customHeight="1">
      <c r="A394" s="6" t="s">
        <v>29</v>
      </c>
      <c r="B394" s="6" t="s">
        <v>29</v>
      </c>
      <c r="C394" s="7" t="str">
        <f>IF(A394="","",IFERROR(IF(VLOOKUP(B394,Bibliotheques!$A$10:$B$59,2,FALSE)=0,"Nom manquant",VLOOKUP(B394,Bibliotheques!$A$10:$B$59,2,FALSE)),"Clé inconnue"))</f>
        <v/>
      </c>
      <c r="D394" s="6" t="s">
        <v>29</v>
      </c>
      <c r="E394" s="7" t="str">
        <f t="shared" si="6"/>
        <v/>
      </c>
      <c r="F394" s="6" t="s">
        <v>29</v>
      </c>
      <c r="G394" s="6" t="s">
        <v>29</v>
      </c>
      <c r="H394" s="8" t="str">
        <f>IF(A394="","",Bibliotheques!$B$5&amp;IF(RIGHT(Bibliotheques!$B$5,1)="/","","/")&amp;SUBSTITUTE(A394," ","%20"))</f>
        <v/>
      </c>
      <c r="I394" s="6" t="s">
        <v>29</v>
      </c>
      <c r="J394" s="6" t="s">
        <v>29</v>
      </c>
    </row>
    <row r="395" spans="1:10" ht="33.950000000000003" customHeight="1">
      <c r="A395" s="6" t="s">
        <v>29</v>
      </c>
      <c r="B395" s="6" t="s">
        <v>29</v>
      </c>
      <c r="C395" s="7" t="str">
        <f>IF(A395="","",IFERROR(IF(VLOOKUP(B395,Bibliotheques!$A$10:$B$59,2,FALSE)=0,"Nom manquant",VLOOKUP(B395,Bibliotheques!$A$10:$B$59,2,FALSE)),"Clé inconnue"))</f>
        <v/>
      </c>
      <c r="D395" s="6" t="s">
        <v>29</v>
      </c>
      <c r="E395" s="7" t="str">
        <f t="shared" si="6"/>
        <v/>
      </c>
      <c r="F395" s="6" t="s">
        <v>29</v>
      </c>
      <c r="G395" s="6" t="s">
        <v>29</v>
      </c>
      <c r="H395" s="8" t="str">
        <f>IF(A395="","",Bibliotheques!$B$5&amp;IF(RIGHT(Bibliotheques!$B$5,1)="/","","/")&amp;SUBSTITUTE(A395," ","%20"))</f>
        <v/>
      </c>
      <c r="I395" s="6" t="s">
        <v>29</v>
      </c>
      <c r="J395" s="6" t="s">
        <v>29</v>
      </c>
    </row>
    <row r="396" spans="1:10" ht="33.950000000000003" customHeight="1">
      <c r="A396" s="6" t="s">
        <v>29</v>
      </c>
      <c r="B396" s="6" t="s">
        <v>29</v>
      </c>
      <c r="C396" s="7" t="str">
        <f>IF(A396="","",IFERROR(IF(VLOOKUP(B396,Bibliotheques!$A$10:$B$59,2,FALSE)=0,"Nom manquant",VLOOKUP(B396,Bibliotheques!$A$10:$B$59,2,FALSE)),"Clé inconnue"))</f>
        <v/>
      </c>
      <c r="D396" s="6" t="s">
        <v>29</v>
      </c>
      <c r="E396" s="7" t="str">
        <f t="shared" si="6"/>
        <v/>
      </c>
      <c r="F396" s="6" t="s">
        <v>29</v>
      </c>
      <c r="G396" s="6" t="s">
        <v>29</v>
      </c>
      <c r="H396" s="8" t="str">
        <f>IF(A396="","",Bibliotheques!$B$5&amp;IF(RIGHT(Bibliotheques!$B$5,1)="/","","/")&amp;SUBSTITUTE(A396," ","%20"))</f>
        <v/>
      </c>
      <c r="I396" s="6" t="s">
        <v>29</v>
      </c>
      <c r="J396" s="6" t="s">
        <v>29</v>
      </c>
    </row>
    <row r="397" spans="1:10" ht="33.950000000000003" customHeight="1">
      <c r="A397" s="6" t="s">
        <v>29</v>
      </c>
      <c r="B397" s="6" t="s">
        <v>29</v>
      </c>
      <c r="C397" s="7" t="str">
        <f>IF(A397="","",IFERROR(IF(VLOOKUP(B397,Bibliotheques!$A$10:$B$59,2,FALSE)=0,"Nom manquant",VLOOKUP(B397,Bibliotheques!$A$10:$B$59,2,FALSE)),"Clé inconnue"))</f>
        <v/>
      </c>
      <c r="D397" s="6" t="s">
        <v>29</v>
      </c>
      <c r="E397" s="7" t="str">
        <f t="shared" si="6"/>
        <v/>
      </c>
      <c r="F397" s="6" t="s">
        <v>29</v>
      </c>
      <c r="G397" s="6" t="s">
        <v>29</v>
      </c>
      <c r="H397" s="8" t="str">
        <f>IF(A397="","",Bibliotheques!$B$5&amp;IF(RIGHT(Bibliotheques!$B$5,1)="/","","/")&amp;SUBSTITUTE(A397," ","%20"))</f>
        <v/>
      </c>
      <c r="I397" s="6" t="s">
        <v>29</v>
      </c>
      <c r="J397" s="6" t="s">
        <v>29</v>
      </c>
    </row>
    <row r="398" spans="1:10" ht="33.950000000000003" customHeight="1">
      <c r="A398" s="6" t="s">
        <v>29</v>
      </c>
      <c r="B398" s="6" t="s">
        <v>29</v>
      </c>
      <c r="C398" s="7" t="str">
        <f>IF(A398="","",IFERROR(IF(VLOOKUP(B398,Bibliotheques!$A$10:$B$59,2,FALSE)=0,"Nom manquant",VLOOKUP(B398,Bibliotheques!$A$10:$B$59,2,FALSE)),"Clé inconnue"))</f>
        <v/>
      </c>
      <c r="D398" s="6" t="s">
        <v>29</v>
      </c>
      <c r="E398" s="7" t="str">
        <f t="shared" si="6"/>
        <v/>
      </c>
      <c r="F398" s="6" t="s">
        <v>29</v>
      </c>
      <c r="G398" s="6" t="s">
        <v>29</v>
      </c>
      <c r="H398" s="8" t="str">
        <f>IF(A398="","",Bibliotheques!$B$5&amp;IF(RIGHT(Bibliotheques!$B$5,1)="/","","/")&amp;SUBSTITUTE(A398," ","%20"))</f>
        <v/>
      </c>
      <c r="I398" s="6" t="s">
        <v>29</v>
      </c>
      <c r="J398" s="6" t="s">
        <v>29</v>
      </c>
    </row>
    <row r="399" spans="1:10" ht="33.950000000000003" customHeight="1">
      <c r="A399" s="6" t="s">
        <v>29</v>
      </c>
      <c r="B399" s="6" t="s">
        <v>29</v>
      </c>
      <c r="C399" s="7" t="str">
        <f>IF(A399="","",IFERROR(IF(VLOOKUP(B399,Bibliotheques!$A$10:$B$59,2,FALSE)=0,"Nom manquant",VLOOKUP(B399,Bibliotheques!$A$10:$B$59,2,FALSE)),"Clé inconnue"))</f>
        <v/>
      </c>
      <c r="D399" s="6" t="s">
        <v>29</v>
      </c>
      <c r="E399" s="7" t="str">
        <f t="shared" si="6"/>
        <v/>
      </c>
      <c r="F399" s="6" t="s">
        <v>29</v>
      </c>
      <c r="G399" s="6" t="s">
        <v>29</v>
      </c>
      <c r="H399" s="8" t="str">
        <f>IF(A399="","",Bibliotheques!$B$5&amp;IF(RIGHT(Bibliotheques!$B$5,1)="/","","/")&amp;SUBSTITUTE(A399," ","%20"))</f>
        <v/>
      </c>
      <c r="I399" s="6" t="s">
        <v>29</v>
      </c>
      <c r="J399" s="6" t="s">
        <v>29</v>
      </c>
    </row>
    <row r="400" spans="1:10" ht="33.950000000000003" customHeight="1">
      <c r="A400" s="6" t="s">
        <v>29</v>
      </c>
      <c r="B400" s="6" t="s">
        <v>29</v>
      </c>
      <c r="C400" s="7" t="str">
        <f>IF(A400="","",IFERROR(IF(VLOOKUP(B400,Bibliotheques!$A$10:$B$59,2,FALSE)=0,"Nom manquant",VLOOKUP(B400,Bibliotheques!$A$10:$B$59,2,FALSE)),"Clé inconnue"))</f>
        <v/>
      </c>
      <c r="D400" s="6" t="s">
        <v>29</v>
      </c>
      <c r="E400" s="7" t="str">
        <f t="shared" si="6"/>
        <v/>
      </c>
      <c r="F400" s="6" t="s">
        <v>29</v>
      </c>
      <c r="G400" s="6" t="s">
        <v>29</v>
      </c>
      <c r="H400" s="8" t="str">
        <f>IF(A400="","",Bibliotheques!$B$5&amp;IF(RIGHT(Bibliotheques!$B$5,1)="/","","/")&amp;SUBSTITUTE(A400," ","%20"))</f>
        <v/>
      </c>
      <c r="I400" s="6" t="s">
        <v>29</v>
      </c>
      <c r="J400" s="6" t="s">
        <v>29</v>
      </c>
    </row>
    <row r="401" spans="1:10" ht="33.950000000000003" customHeight="1">
      <c r="A401" s="6" t="s">
        <v>29</v>
      </c>
      <c r="B401" s="6" t="s">
        <v>29</v>
      </c>
      <c r="C401" s="7" t="str">
        <f>IF(A401="","",IFERROR(IF(VLOOKUP(B401,Bibliotheques!$A$10:$B$59,2,FALSE)=0,"Nom manquant",VLOOKUP(B401,Bibliotheques!$A$10:$B$59,2,FALSE)),"Clé inconnue"))</f>
        <v/>
      </c>
      <c r="D401" s="6" t="s">
        <v>29</v>
      </c>
      <c r="E401" s="7" t="str">
        <f t="shared" si="6"/>
        <v/>
      </c>
      <c r="F401" s="6" t="s">
        <v>29</v>
      </c>
      <c r="G401" s="6" t="s">
        <v>29</v>
      </c>
      <c r="H401" s="8" t="str">
        <f>IF(A401="","",Bibliotheques!$B$5&amp;IF(RIGHT(Bibliotheques!$B$5,1)="/","","/")&amp;SUBSTITUTE(A401," ","%20"))</f>
        <v/>
      </c>
      <c r="I401" s="6" t="s">
        <v>29</v>
      </c>
      <c r="J401" s="6" t="s">
        <v>29</v>
      </c>
    </row>
    <row r="402" spans="1:10" ht="33.950000000000003" customHeight="1">
      <c r="A402" s="6" t="s">
        <v>29</v>
      </c>
      <c r="B402" s="6" t="s">
        <v>29</v>
      </c>
      <c r="C402" s="7" t="str">
        <f>IF(A402="","",IFERROR(IF(VLOOKUP(B402,Bibliotheques!$A$10:$B$59,2,FALSE)=0,"Nom manquant",VLOOKUP(B402,Bibliotheques!$A$10:$B$59,2,FALSE)),"Clé inconnue"))</f>
        <v/>
      </c>
      <c r="D402" s="6" t="s">
        <v>29</v>
      </c>
      <c r="E402" s="7" t="str">
        <f t="shared" si="6"/>
        <v/>
      </c>
      <c r="F402" s="6" t="s">
        <v>29</v>
      </c>
      <c r="G402" s="6" t="s">
        <v>29</v>
      </c>
      <c r="H402" s="8" t="str">
        <f>IF(A402="","",Bibliotheques!$B$5&amp;IF(RIGHT(Bibliotheques!$B$5,1)="/","","/")&amp;SUBSTITUTE(A402," ","%20"))</f>
        <v/>
      </c>
      <c r="I402" s="6" t="s">
        <v>29</v>
      </c>
      <c r="J402" s="6" t="s">
        <v>29</v>
      </c>
    </row>
    <row r="403" spans="1:10" ht="33.950000000000003" customHeight="1">
      <c r="A403" s="6" t="s">
        <v>29</v>
      </c>
      <c r="B403" s="6" t="s">
        <v>29</v>
      </c>
      <c r="C403" s="7" t="str">
        <f>IF(A403="","",IFERROR(IF(VLOOKUP(B403,Bibliotheques!$A$10:$B$59,2,FALSE)=0,"Nom manquant",VLOOKUP(B403,Bibliotheques!$A$10:$B$59,2,FALSE)),"Clé inconnue"))</f>
        <v/>
      </c>
      <c r="D403" s="6" t="s">
        <v>29</v>
      </c>
      <c r="E403" s="7" t="str">
        <f t="shared" si="6"/>
        <v/>
      </c>
      <c r="F403" s="6" t="s">
        <v>29</v>
      </c>
      <c r="G403" s="6" t="s">
        <v>29</v>
      </c>
      <c r="H403" s="8" t="str">
        <f>IF(A403="","",Bibliotheques!$B$5&amp;IF(RIGHT(Bibliotheques!$B$5,1)="/","","/")&amp;SUBSTITUTE(A403," ","%20"))</f>
        <v/>
      </c>
      <c r="I403" s="6" t="s">
        <v>29</v>
      </c>
      <c r="J403" s="6" t="s">
        <v>29</v>
      </c>
    </row>
    <row r="404" spans="1:10" ht="33.950000000000003" customHeight="1">
      <c r="A404" s="6" t="s">
        <v>29</v>
      </c>
      <c r="B404" s="6" t="s">
        <v>29</v>
      </c>
      <c r="C404" s="7" t="str">
        <f>IF(A404="","",IFERROR(IF(VLOOKUP(B404,Bibliotheques!$A$10:$B$59,2,FALSE)=0,"Nom manquant",VLOOKUP(B404,Bibliotheques!$A$10:$B$59,2,FALSE)),"Clé inconnue"))</f>
        <v/>
      </c>
      <c r="D404" s="6" t="s">
        <v>29</v>
      </c>
      <c r="E404" s="7" t="str">
        <f t="shared" si="6"/>
        <v/>
      </c>
      <c r="F404" s="6" t="s">
        <v>29</v>
      </c>
      <c r="G404" s="6" t="s">
        <v>29</v>
      </c>
      <c r="H404" s="8" t="str">
        <f>IF(A404="","",Bibliotheques!$B$5&amp;IF(RIGHT(Bibliotheques!$B$5,1)="/","","/")&amp;SUBSTITUTE(A404," ","%20"))</f>
        <v/>
      </c>
      <c r="I404" s="6" t="s">
        <v>29</v>
      </c>
      <c r="J404" s="6" t="s">
        <v>29</v>
      </c>
    </row>
    <row r="405" spans="1:10" ht="33.950000000000003" customHeight="1">
      <c r="A405" s="6" t="s">
        <v>29</v>
      </c>
      <c r="B405" s="6" t="s">
        <v>29</v>
      </c>
      <c r="C405" s="7" t="str">
        <f>IF(A405="","",IFERROR(IF(VLOOKUP(B405,Bibliotheques!$A$10:$B$59,2,FALSE)=0,"Nom manquant",VLOOKUP(B405,Bibliotheques!$A$10:$B$59,2,FALSE)),"Clé inconnue"))</f>
        <v/>
      </c>
      <c r="D405" s="6" t="s">
        <v>29</v>
      </c>
      <c r="E405" s="7" t="str">
        <f t="shared" si="6"/>
        <v/>
      </c>
      <c r="F405" s="6" t="s">
        <v>29</v>
      </c>
      <c r="G405" s="6" t="s">
        <v>29</v>
      </c>
      <c r="H405" s="8" t="str">
        <f>IF(A405="","",Bibliotheques!$B$5&amp;IF(RIGHT(Bibliotheques!$B$5,1)="/","","/")&amp;SUBSTITUTE(A405," ","%20"))</f>
        <v/>
      </c>
      <c r="I405" s="6" t="s">
        <v>29</v>
      </c>
      <c r="J405" s="6" t="s">
        <v>29</v>
      </c>
    </row>
    <row r="406" spans="1:10" ht="33.950000000000003" customHeight="1">
      <c r="A406" s="6" t="s">
        <v>29</v>
      </c>
      <c r="B406" s="6" t="s">
        <v>29</v>
      </c>
      <c r="C406" s="7" t="str">
        <f>IF(A406="","",IFERROR(IF(VLOOKUP(B406,Bibliotheques!$A$10:$B$59,2,FALSE)=0,"Nom manquant",VLOOKUP(B406,Bibliotheques!$A$10:$B$59,2,FALSE)),"Clé inconnue"))</f>
        <v/>
      </c>
      <c r="D406" s="6" t="s">
        <v>29</v>
      </c>
      <c r="E406" s="7" t="str">
        <f t="shared" si="6"/>
        <v/>
      </c>
      <c r="F406" s="6" t="s">
        <v>29</v>
      </c>
      <c r="G406" s="6" t="s">
        <v>29</v>
      </c>
      <c r="H406" s="8" t="str">
        <f>IF(A406="","",Bibliotheques!$B$5&amp;IF(RIGHT(Bibliotheques!$B$5,1)="/","","/")&amp;SUBSTITUTE(A406," ","%20"))</f>
        <v/>
      </c>
      <c r="I406" s="6" t="s">
        <v>29</v>
      </c>
      <c r="J406" s="6" t="s">
        <v>29</v>
      </c>
    </row>
    <row r="407" spans="1:10" ht="33.950000000000003" customHeight="1">
      <c r="A407" s="6" t="s">
        <v>29</v>
      </c>
      <c r="B407" s="6" t="s">
        <v>29</v>
      </c>
      <c r="C407" s="7" t="str">
        <f>IF(A407="","",IFERROR(IF(VLOOKUP(B407,Bibliotheques!$A$10:$B$59,2,FALSE)=0,"Nom manquant",VLOOKUP(B407,Bibliotheques!$A$10:$B$59,2,FALSE)),"Clé inconnue"))</f>
        <v/>
      </c>
      <c r="D407" s="6" t="s">
        <v>29</v>
      </c>
      <c r="E407" s="7" t="str">
        <f t="shared" si="6"/>
        <v/>
      </c>
      <c r="F407" s="6" t="s">
        <v>29</v>
      </c>
      <c r="G407" s="6" t="s">
        <v>29</v>
      </c>
      <c r="H407" s="8" t="str">
        <f>IF(A407="","",Bibliotheques!$B$5&amp;IF(RIGHT(Bibliotheques!$B$5,1)="/","","/")&amp;SUBSTITUTE(A407," ","%20"))</f>
        <v/>
      </c>
      <c r="I407" s="6" t="s">
        <v>29</v>
      </c>
      <c r="J407" s="6" t="s">
        <v>29</v>
      </c>
    </row>
    <row r="408" spans="1:10" ht="33.950000000000003" customHeight="1">
      <c r="A408" s="6" t="s">
        <v>29</v>
      </c>
      <c r="B408" s="6" t="s">
        <v>29</v>
      </c>
      <c r="C408" s="7" t="str">
        <f>IF(A408="","",IFERROR(IF(VLOOKUP(B408,Bibliotheques!$A$10:$B$59,2,FALSE)=0,"Nom manquant",VLOOKUP(B408,Bibliotheques!$A$10:$B$59,2,FALSE)),"Clé inconnue"))</f>
        <v/>
      </c>
      <c r="D408" s="6" t="s">
        <v>29</v>
      </c>
      <c r="E408" s="7" t="str">
        <f t="shared" si="6"/>
        <v/>
      </c>
      <c r="F408" s="6" t="s">
        <v>29</v>
      </c>
      <c r="G408" s="6" t="s">
        <v>29</v>
      </c>
      <c r="H408" s="8" t="str">
        <f>IF(A408="","",Bibliotheques!$B$5&amp;IF(RIGHT(Bibliotheques!$B$5,1)="/","","/")&amp;SUBSTITUTE(A408," ","%20"))</f>
        <v/>
      </c>
      <c r="I408" s="6" t="s">
        <v>29</v>
      </c>
      <c r="J408" s="6" t="s">
        <v>29</v>
      </c>
    </row>
    <row r="409" spans="1:10" ht="33.950000000000003" customHeight="1">
      <c r="A409" s="6" t="s">
        <v>29</v>
      </c>
      <c r="B409" s="6" t="s">
        <v>29</v>
      </c>
      <c r="C409" s="7" t="str">
        <f>IF(A409="","",IFERROR(IF(VLOOKUP(B409,Bibliotheques!$A$10:$B$59,2,FALSE)=0,"Nom manquant",VLOOKUP(B409,Bibliotheques!$A$10:$B$59,2,FALSE)),"Clé inconnue"))</f>
        <v/>
      </c>
      <c r="D409" s="6" t="s">
        <v>29</v>
      </c>
      <c r="E409" s="7" t="str">
        <f t="shared" si="6"/>
        <v/>
      </c>
      <c r="F409" s="6" t="s">
        <v>29</v>
      </c>
      <c r="G409" s="6" t="s">
        <v>29</v>
      </c>
      <c r="H409" s="8" t="str">
        <f>IF(A409="","",Bibliotheques!$B$5&amp;IF(RIGHT(Bibliotheques!$B$5,1)="/","","/")&amp;SUBSTITUTE(A409," ","%20"))</f>
        <v/>
      </c>
      <c r="I409" s="6" t="s">
        <v>29</v>
      </c>
      <c r="J409" s="6" t="s">
        <v>29</v>
      </c>
    </row>
    <row r="410" spans="1:10" ht="33.950000000000003" customHeight="1">
      <c r="A410" s="6" t="s">
        <v>29</v>
      </c>
      <c r="B410" s="6" t="s">
        <v>29</v>
      </c>
      <c r="C410" s="7" t="str">
        <f>IF(A410="","",IFERROR(IF(VLOOKUP(B410,Bibliotheques!$A$10:$B$59,2,FALSE)=0,"Nom manquant",VLOOKUP(B410,Bibliotheques!$A$10:$B$59,2,FALSE)),"Clé inconnue"))</f>
        <v/>
      </c>
      <c r="D410" s="6" t="s">
        <v>29</v>
      </c>
      <c r="E410" s="7" t="str">
        <f t="shared" si="6"/>
        <v/>
      </c>
      <c r="F410" s="6" t="s">
        <v>29</v>
      </c>
      <c r="G410" s="6" t="s">
        <v>29</v>
      </c>
      <c r="H410" s="8" t="str">
        <f>IF(A410="","",Bibliotheques!$B$5&amp;IF(RIGHT(Bibliotheques!$B$5,1)="/","","/")&amp;SUBSTITUTE(A410," ","%20"))</f>
        <v/>
      </c>
      <c r="I410" s="6" t="s">
        <v>29</v>
      </c>
      <c r="J410" s="6" t="s">
        <v>29</v>
      </c>
    </row>
    <row r="411" spans="1:10" ht="33.950000000000003" customHeight="1">
      <c r="A411" s="6" t="s">
        <v>29</v>
      </c>
      <c r="B411" s="6" t="s">
        <v>29</v>
      </c>
      <c r="C411" s="7" t="str">
        <f>IF(A411="","",IFERROR(IF(VLOOKUP(B411,Bibliotheques!$A$10:$B$59,2,FALSE)=0,"Nom manquant",VLOOKUP(B411,Bibliotheques!$A$10:$B$59,2,FALSE)),"Clé inconnue"))</f>
        <v/>
      </c>
      <c r="D411" s="6" t="s">
        <v>29</v>
      </c>
      <c r="E411" s="7" t="str">
        <f t="shared" si="6"/>
        <v/>
      </c>
      <c r="F411" s="6" t="s">
        <v>29</v>
      </c>
      <c r="G411" s="6" t="s">
        <v>29</v>
      </c>
      <c r="H411" s="8" t="str">
        <f>IF(A411="","",Bibliotheques!$B$5&amp;IF(RIGHT(Bibliotheques!$B$5,1)="/","","/")&amp;SUBSTITUTE(A411," ","%20"))</f>
        <v/>
      </c>
      <c r="I411" s="6" t="s">
        <v>29</v>
      </c>
      <c r="J411" s="6" t="s">
        <v>29</v>
      </c>
    </row>
    <row r="412" spans="1:10" ht="33.950000000000003" customHeight="1">
      <c r="A412" s="6" t="s">
        <v>29</v>
      </c>
      <c r="B412" s="6" t="s">
        <v>29</v>
      </c>
      <c r="C412" s="7" t="str">
        <f>IF(A412="","",IFERROR(IF(VLOOKUP(B412,Bibliotheques!$A$10:$B$59,2,FALSE)=0,"Nom manquant",VLOOKUP(B412,Bibliotheques!$A$10:$B$59,2,FALSE)),"Clé inconnue"))</f>
        <v/>
      </c>
      <c r="D412" s="6" t="s">
        <v>29</v>
      </c>
      <c r="E412" s="7" t="str">
        <f t="shared" si="6"/>
        <v/>
      </c>
      <c r="F412" s="6" t="s">
        <v>29</v>
      </c>
      <c r="G412" s="6" t="s">
        <v>29</v>
      </c>
      <c r="H412" s="8" t="str">
        <f>IF(A412="","",Bibliotheques!$B$5&amp;IF(RIGHT(Bibliotheques!$B$5,1)="/","","/")&amp;SUBSTITUTE(A412," ","%20"))</f>
        <v/>
      </c>
      <c r="I412" s="6" t="s">
        <v>29</v>
      </c>
      <c r="J412" s="6" t="s">
        <v>29</v>
      </c>
    </row>
    <row r="413" spans="1:10" ht="33.950000000000003" customHeight="1">
      <c r="A413" s="6" t="s">
        <v>29</v>
      </c>
      <c r="B413" s="6" t="s">
        <v>29</v>
      </c>
      <c r="C413" s="7" t="str">
        <f>IF(A413="","",IFERROR(IF(VLOOKUP(B413,Bibliotheques!$A$10:$B$59,2,FALSE)=0,"Nom manquant",VLOOKUP(B413,Bibliotheques!$A$10:$B$59,2,FALSE)),"Clé inconnue"))</f>
        <v/>
      </c>
      <c r="D413" s="6" t="s">
        <v>29</v>
      </c>
      <c r="E413" s="7" t="str">
        <f t="shared" si="6"/>
        <v/>
      </c>
      <c r="F413" s="6" t="s">
        <v>29</v>
      </c>
      <c r="G413" s="6" t="s">
        <v>29</v>
      </c>
      <c r="H413" s="8" t="str">
        <f>IF(A413="","",Bibliotheques!$B$5&amp;IF(RIGHT(Bibliotheques!$B$5,1)="/","","/")&amp;SUBSTITUTE(A413," ","%20"))</f>
        <v/>
      </c>
      <c r="I413" s="6" t="s">
        <v>29</v>
      </c>
      <c r="J413" s="6" t="s">
        <v>29</v>
      </c>
    </row>
    <row r="414" spans="1:10" ht="33.950000000000003" customHeight="1">
      <c r="A414" s="6" t="s">
        <v>29</v>
      </c>
      <c r="B414" s="6" t="s">
        <v>29</v>
      </c>
      <c r="C414" s="7" t="str">
        <f>IF(A414="","",IFERROR(IF(VLOOKUP(B414,Bibliotheques!$A$10:$B$59,2,FALSE)=0,"Nom manquant",VLOOKUP(B414,Bibliotheques!$A$10:$B$59,2,FALSE)),"Clé inconnue"))</f>
        <v/>
      </c>
      <c r="D414" s="6" t="s">
        <v>29</v>
      </c>
      <c r="E414" s="7" t="str">
        <f t="shared" si="6"/>
        <v/>
      </c>
      <c r="F414" s="6" t="s">
        <v>29</v>
      </c>
      <c r="G414" s="6" t="s">
        <v>29</v>
      </c>
      <c r="H414" s="8" t="str">
        <f>IF(A414="","",Bibliotheques!$B$5&amp;IF(RIGHT(Bibliotheques!$B$5,1)="/","","/")&amp;SUBSTITUTE(A414," ","%20"))</f>
        <v/>
      </c>
      <c r="I414" s="6" t="s">
        <v>29</v>
      </c>
      <c r="J414" s="6" t="s">
        <v>29</v>
      </c>
    </row>
    <row r="415" spans="1:10" ht="33.950000000000003" customHeight="1">
      <c r="A415" s="6" t="s">
        <v>29</v>
      </c>
      <c r="B415" s="6" t="s">
        <v>29</v>
      </c>
      <c r="C415" s="7" t="str">
        <f>IF(A415="","",IFERROR(IF(VLOOKUP(B415,Bibliotheques!$A$10:$B$59,2,FALSE)=0,"Nom manquant",VLOOKUP(B415,Bibliotheques!$A$10:$B$59,2,FALSE)),"Clé inconnue"))</f>
        <v/>
      </c>
      <c r="D415" s="6" t="s">
        <v>29</v>
      </c>
      <c r="E415" s="7" t="str">
        <f t="shared" si="6"/>
        <v/>
      </c>
      <c r="F415" s="6" t="s">
        <v>29</v>
      </c>
      <c r="G415" s="6" t="s">
        <v>29</v>
      </c>
      <c r="H415" s="8" t="str">
        <f>IF(A415="","",Bibliotheques!$B$5&amp;IF(RIGHT(Bibliotheques!$B$5,1)="/","","/")&amp;SUBSTITUTE(A415," ","%20"))</f>
        <v/>
      </c>
      <c r="I415" s="6" t="s">
        <v>29</v>
      </c>
      <c r="J415" s="6" t="s">
        <v>29</v>
      </c>
    </row>
    <row r="416" spans="1:10" ht="33.950000000000003" customHeight="1">
      <c r="A416" s="6" t="s">
        <v>29</v>
      </c>
      <c r="B416" s="6" t="s">
        <v>29</v>
      </c>
      <c r="C416" s="7" t="str">
        <f>IF(A416="","",IFERROR(IF(VLOOKUP(B416,Bibliotheques!$A$10:$B$59,2,FALSE)=0,"Nom manquant",VLOOKUP(B416,Bibliotheques!$A$10:$B$59,2,FALSE)),"Clé inconnue"))</f>
        <v/>
      </c>
      <c r="D416" s="6" t="s">
        <v>29</v>
      </c>
      <c r="E416" s="7" t="str">
        <f t="shared" si="6"/>
        <v/>
      </c>
      <c r="F416" s="6" t="s">
        <v>29</v>
      </c>
      <c r="G416" s="6" t="s">
        <v>29</v>
      </c>
      <c r="H416" s="8" t="str">
        <f>IF(A416="","",Bibliotheques!$B$5&amp;IF(RIGHT(Bibliotheques!$B$5,1)="/","","/")&amp;SUBSTITUTE(A416," ","%20"))</f>
        <v/>
      </c>
      <c r="I416" s="6" t="s">
        <v>29</v>
      </c>
      <c r="J416" s="6" t="s">
        <v>29</v>
      </c>
    </row>
    <row r="417" spans="1:10" ht="33.950000000000003" customHeight="1">
      <c r="A417" s="6" t="s">
        <v>29</v>
      </c>
      <c r="B417" s="6" t="s">
        <v>29</v>
      </c>
      <c r="C417" s="7" t="str">
        <f>IF(A417="","",IFERROR(IF(VLOOKUP(B417,Bibliotheques!$A$10:$B$59,2,FALSE)=0,"Nom manquant",VLOOKUP(B417,Bibliotheques!$A$10:$B$59,2,FALSE)),"Clé inconnue"))</f>
        <v/>
      </c>
      <c r="D417" s="6" t="s">
        <v>29</v>
      </c>
      <c r="E417" s="7" t="str">
        <f t="shared" si="6"/>
        <v/>
      </c>
      <c r="F417" s="6" t="s">
        <v>29</v>
      </c>
      <c r="G417" s="6" t="s">
        <v>29</v>
      </c>
      <c r="H417" s="8" t="str">
        <f>IF(A417="","",Bibliotheques!$B$5&amp;IF(RIGHT(Bibliotheques!$B$5,1)="/","","/")&amp;SUBSTITUTE(A417," ","%20"))</f>
        <v/>
      </c>
      <c r="I417" s="6" t="s">
        <v>29</v>
      </c>
      <c r="J417" s="6" t="s">
        <v>29</v>
      </c>
    </row>
    <row r="418" spans="1:10" ht="33.950000000000003" customHeight="1">
      <c r="A418" s="6" t="s">
        <v>29</v>
      </c>
      <c r="B418" s="6" t="s">
        <v>29</v>
      </c>
      <c r="C418" s="7" t="str">
        <f>IF(A418="","",IFERROR(IF(VLOOKUP(B418,Bibliotheques!$A$10:$B$59,2,FALSE)=0,"Nom manquant",VLOOKUP(B418,Bibliotheques!$A$10:$B$59,2,FALSE)),"Clé inconnue"))</f>
        <v/>
      </c>
      <c r="D418" s="6" t="s">
        <v>29</v>
      </c>
      <c r="E418" s="7" t="str">
        <f t="shared" si="6"/>
        <v/>
      </c>
      <c r="F418" s="6" t="s">
        <v>29</v>
      </c>
      <c r="G418" s="6" t="s">
        <v>29</v>
      </c>
      <c r="H418" s="8" t="str">
        <f>IF(A418="","",Bibliotheques!$B$5&amp;IF(RIGHT(Bibliotheques!$B$5,1)="/","","/")&amp;SUBSTITUTE(A418," ","%20"))</f>
        <v/>
      </c>
      <c r="I418" s="6" t="s">
        <v>29</v>
      </c>
      <c r="J418" s="6" t="s">
        <v>29</v>
      </c>
    </row>
    <row r="419" spans="1:10" ht="33.950000000000003" customHeight="1">
      <c r="A419" s="6" t="s">
        <v>29</v>
      </c>
      <c r="B419" s="6" t="s">
        <v>29</v>
      </c>
      <c r="C419" s="7" t="str">
        <f>IF(A419="","",IFERROR(IF(VLOOKUP(B419,Bibliotheques!$A$10:$B$59,2,FALSE)=0,"Nom manquant",VLOOKUP(B419,Bibliotheques!$A$10:$B$59,2,FALSE)),"Clé inconnue"))</f>
        <v/>
      </c>
      <c r="D419" s="6" t="s">
        <v>29</v>
      </c>
      <c r="E419" s="7" t="str">
        <f t="shared" si="6"/>
        <v/>
      </c>
      <c r="F419" s="6" t="s">
        <v>29</v>
      </c>
      <c r="G419" s="6" t="s">
        <v>29</v>
      </c>
      <c r="H419" s="8" t="str">
        <f>IF(A419="","",Bibliotheques!$B$5&amp;IF(RIGHT(Bibliotheques!$B$5,1)="/","","/")&amp;SUBSTITUTE(A419," ","%20"))</f>
        <v/>
      </c>
      <c r="I419" s="6" t="s">
        <v>29</v>
      </c>
      <c r="J419" s="6" t="s">
        <v>29</v>
      </c>
    </row>
    <row r="420" spans="1:10" ht="33.950000000000003" customHeight="1">
      <c r="A420" s="6" t="s">
        <v>29</v>
      </c>
      <c r="B420" s="6" t="s">
        <v>29</v>
      </c>
      <c r="C420" s="7" t="str">
        <f>IF(A420="","",IFERROR(IF(VLOOKUP(B420,Bibliotheques!$A$10:$B$59,2,FALSE)=0,"Nom manquant",VLOOKUP(B420,Bibliotheques!$A$10:$B$59,2,FALSE)),"Clé inconnue"))</f>
        <v/>
      </c>
      <c r="D420" s="6" t="s">
        <v>29</v>
      </c>
      <c r="E420" s="7" t="str">
        <f t="shared" si="6"/>
        <v/>
      </c>
      <c r="F420" s="6" t="s">
        <v>29</v>
      </c>
      <c r="G420" s="6" t="s">
        <v>29</v>
      </c>
      <c r="H420" s="8" t="str">
        <f>IF(A420="","",Bibliotheques!$B$5&amp;IF(RIGHT(Bibliotheques!$B$5,1)="/","","/")&amp;SUBSTITUTE(A420," ","%20"))</f>
        <v/>
      </c>
      <c r="I420" s="6" t="s">
        <v>29</v>
      </c>
      <c r="J420" s="6" t="s">
        <v>29</v>
      </c>
    </row>
    <row r="421" spans="1:10" ht="33.950000000000003" customHeight="1">
      <c r="A421" s="6" t="s">
        <v>29</v>
      </c>
      <c r="B421" s="6" t="s">
        <v>29</v>
      </c>
      <c r="C421" s="7" t="str">
        <f>IF(A421="","",IFERROR(IF(VLOOKUP(B421,Bibliotheques!$A$10:$B$59,2,FALSE)=0,"Nom manquant",VLOOKUP(B421,Bibliotheques!$A$10:$B$59,2,FALSE)),"Clé inconnue"))</f>
        <v/>
      </c>
      <c r="D421" s="6" t="s">
        <v>29</v>
      </c>
      <c r="E421" s="7" t="str">
        <f t="shared" si="6"/>
        <v/>
      </c>
      <c r="F421" s="6" t="s">
        <v>29</v>
      </c>
      <c r="G421" s="6" t="s">
        <v>29</v>
      </c>
      <c r="H421" s="8" t="str">
        <f>IF(A421="","",Bibliotheques!$B$5&amp;IF(RIGHT(Bibliotheques!$B$5,1)="/","","/")&amp;SUBSTITUTE(A421," ","%20"))</f>
        <v/>
      </c>
      <c r="I421" s="6" t="s">
        <v>29</v>
      </c>
      <c r="J421" s="6" t="s">
        <v>29</v>
      </c>
    </row>
    <row r="422" spans="1:10" ht="33.950000000000003" customHeight="1">
      <c r="A422" s="6" t="s">
        <v>29</v>
      </c>
      <c r="B422" s="6" t="s">
        <v>29</v>
      </c>
      <c r="C422" s="7" t="str">
        <f>IF(A422="","",IFERROR(IF(VLOOKUP(B422,Bibliotheques!$A$10:$B$59,2,FALSE)=0,"Nom manquant",VLOOKUP(B422,Bibliotheques!$A$10:$B$59,2,FALSE)),"Clé inconnue"))</f>
        <v/>
      </c>
      <c r="D422" s="6" t="s">
        <v>29</v>
      </c>
      <c r="E422" s="7" t="str">
        <f t="shared" si="6"/>
        <v/>
      </c>
      <c r="F422" s="6" t="s">
        <v>29</v>
      </c>
      <c r="G422" s="6" t="s">
        <v>29</v>
      </c>
      <c r="H422" s="8" t="str">
        <f>IF(A422="","",Bibliotheques!$B$5&amp;IF(RIGHT(Bibliotheques!$B$5,1)="/","","/")&amp;SUBSTITUTE(A422," ","%20"))</f>
        <v/>
      </c>
      <c r="I422" s="6" t="s">
        <v>29</v>
      </c>
      <c r="J422" s="6" t="s">
        <v>29</v>
      </c>
    </row>
    <row r="423" spans="1:10" ht="33.950000000000003" customHeight="1">
      <c r="A423" s="6" t="s">
        <v>29</v>
      </c>
      <c r="B423" s="6" t="s">
        <v>29</v>
      </c>
      <c r="C423" s="7" t="str">
        <f>IF(A423="","",IFERROR(IF(VLOOKUP(B423,Bibliotheques!$A$10:$B$59,2,FALSE)=0,"Nom manquant",VLOOKUP(B423,Bibliotheques!$A$10:$B$59,2,FALSE)),"Clé inconnue"))</f>
        <v/>
      </c>
      <c r="D423" s="6" t="s">
        <v>29</v>
      </c>
      <c r="E423" s="7" t="str">
        <f t="shared" si="6"/>
        <v/>
      </c>
      <c r="F423" s="6" t="s">
        <v>29</v>
      </c>
      <c r="G423" s="6" t="s">
        <v>29</v>
      </c>
      <c r="H423" s="8" t="str">
        <f>IF(A423="","",Bibliotheques!$B$5&amp;IF(RIGHT(Bibliotheques!$B$5,1)="/","","/")&amp;SUBSTITUTE(A423," ","%20"))</f>
        <v/>
      </c>
      <c r="I423" s="6" t="s">
        <v>29</v>
      </c>
      <c r="J423" s="6" t="s">
        <v>29</v>
      </c>
    </row>
    <row r="424" spans="1:10" ht="33.950000000000003" customHeight="1">
      <c r="A424" s="6" t="s">
        <v>29</v>
      </c>
      <c r="B424" s="6" t="s">
        <v>29</v>
      </c>
      <c r="C424" s="7" t="str">
        <f>IF(A424="","",IFERROR(IF(VLOOKUP(B424,Bibliotheques!$A$10:$B$59,2,FALSE)=0,"Nom manquant",VLOOKUP(B424,Bibliotheques!$A$10:$B$59,2,FALSE)),"Clé inconnue"))</f>
        <v/>
      </c>
      <c r="D424" s="6" t="s">
        <v>29</v>
      </c>
      <c r="E424" s="7" t="str">
        <f t="shared" si="6"/>
        <v/>
      </c>
      <c r="F424" s="6" t="s">
        <v>29</v>
      </c>
      <c r="G424" s="6" t="s">
        <v>29</v>
      </c>
      <c r="H424" s="8" t="str">
        <f>IF(A424="","",Bibliotheques!$B$5&amp;IF(RIGHT(Bibliotheques!$B$5,1)="/","","/")&amp;SUBSTITUTE(A424," ","%20"))</f>
        <v/>
      </c>
      <c r="I424" s="6" t="s">
        <v>29</v>
      </c>
      <c r="J424" s="6" t="s">
        <v>29</v>
      </c>
    </row>
    <row r="425" spans="1:10" ht="33.950000000000003" customHeight="1">
      <c r="A425" s="6" t="s">
        <v>29</v>
      </c>
      <c r="B425" s="6" t="s">
        <v>29</v>
      </c>
      <c r="C425" s="7" t="str">
        <f>IF(A425="","",IFERROR(IF(VLOOKUP(B425,Bibliotheques!$A$10:$B$59,2,FALSE)=0,"Nom manquant",VLOOKUP(B425,Bibliotheques!$A$10:$B$59,2,FALSE)),"Clé inconnue"))</f>
        <v/>
      </c>
      <c r="D425" s="6" t="s">
        <v>29</v>
      </c>
      <c r="E425" s="7" t="str">
        <f t="shared" si="6"/>
        <v/>
      </c>
      <c r="F425" s="6" t="s">
        <v>29</v>
      </c>
      <c r="G425" s="6" t="s">
        <v>29</v>
      </c>
      <c r="H425" s="8" t="str">
        <f>IF(A425="","",Bibliotheques!$B$5&amp;IF(RIGHT(Bibliotheques!$B$5,1)="/","","/")&amp;SUBSTITUTE(A425," ","%20"))</f>
        <v/>
      </c>
      <c r="I425" s="6" t="s">
        <v>29</v>
      </c>
      <c r="J425" s="6" t="s">
        <v>29</v>
      </c>
    </row>
    <row r="426" spans="1:10" ht="33.950000000000003" customHeight="1">
      <c r="A426" s="6" t="s">
        <v>29</v>
      </c>
      <c r="B426" s="6" t="s">
        <v>29</v>
      </c>
      <c r="C426" s="7" t="str">
        <f>IF(A426="","",IFERROR(IF(VLOOKUP(B426,Bibliotheques!$A$10:$B$59,2,FALSE)=0,"Nom manquant",VLOOKUP(B426,Bibliotheques!$A$10:$B$59,2,FALSE)),"Clé inconnue"))</f>
        <v/>
      </c>
      <c r="D426" s="6" t="s">
        <v>29</v>
      </c>
      <c r="E426" s="7" t="str">
        <f t="shared" si="6"/>
        <v/>
      </c>
      <c r="F426" s="6" t="s">
        <v>29</v>
      </c>
      <c r="G426" s="6" t="s">
        <v>29</v>
      </c>
      <c r="H426" s="8" t="str">
        <f>IF(A426="","",Bibliotheques!$B$5&amp;IF(RIGHT(Bibliotheques!$B$5,1)="/","","/")&amp;SUBSTITUTE(A426," ","%20"))</f>
        <v/>
      </c>
      <c r="I426" s="6" t="s">
        <v>29</v>
      </c>
      <c r="J426" s="6" t="s">
        <v>29</v>
      </c>
    </row>
    <row r="427" spans="1:10" ht="33.950000000000003" customHeight="1">
      <c r="A427" s="6" t="s">
        <v>29</v>
      </c>
      <c r="B427" s="6" t="s">
        <v>29</v>
      </c>
      <c r="C427" s="7" t="str">
        <f>IF(A427="","",IFERROR(IF(VLOOKUP(B427,Bibliotheques!$A$10:$B$59,2,FALSE)=0,"Nom manquant",VLOOKUP(B427,Bibliotheques!$A$10:$B$59,2,FALSE)),"Clé inconnue"))</f>
        <v/>
      </c>
      <c r="D427" s="6" t="s">
        <v>29</v>
      </c>
      <c r="E427" s="7" t="str">
        <f t="shared" si="6"/>
        <v/>
      </c>
      <c r="F427" s="6" t="s">
        <v>29</v>
      </c>
      <c r="G427" s="6" t="s">
        <v>29</v>
      </c>
      <c r="H427" s="8" t="str">
        <f>IF(A427="","",Bibliotheques!$B$5&amp;IF(RIGHT(Bibliotheques!$B$5,1)="/","","/")&amp;SUBSTITUTE(A427," ","%20"))</f>
        <v/>
      </c>
      <c r="I427" s="6" t="s">
        <v>29</v>
      </c>
      <c r="J427" s="6" t="s">
        <v>29</v>
      </c>
    </row>
    <row r="428" spans="1:10" ht="33.950000000000003" customHeight="1">
      <c r="A428" s="6" t="s">
        <v>29</v>
      </c>
      <c r="B428" s="6" t="s">
        <v>29</v>
      </c>
      <c r="C428" s="7" t="str">
        <f>IF(A428="","",IFERROR(IF(VLOOKUP(B428,Bibliotheques!$A$10:$B$59,2,FALSE)=0,"Nom manquant",VLOOKUP(B428,Bibliotheques!$A$10:$B$59,2,FALSE)),"Clé inconnue"))</f>
        <v/>
      </c>
      <c r="D428" s="6" t="s">
        <v>29</v>
      </c>
      <c r="E428" s="7" t="str">
        <f t="shared" si="6"/>
        <v/>
      </c>
      <c r="F428" s="6" t="s">
        <v>29</v>
      </c>
      <c r="G428" s="6" t="s">
        <v>29</v>
      </c>
      <c r="H428" s="8" t="str">
        <f>IF(A428="","",Bibliotheques!$B$5&amp;IF(RIGHT(Bibliotheques!$B$5,1)="/","","/")&amp;SUBSTITUTE(A428," ","%20"))</f>
        <v/>
      </c>
      <c r="I428" s="6" t="s">
        <v>29</v>
      </c>
      <c r="J428" s="6" t="s">
        <v>29</v>
      </c>
    </row>
    <row r="429" spans="1:10" ht="33.950000000000003" customHeight="1">
      <c r="A429" s="6" t="s">
        <v>29</v>
      </c>
      <c r="B429" s="6" t="s">
        <v>29</v>
      </c>
      <c r="C429" s="7" t="str">
        <f>IF(A429="","",IFERROR(IF(VLOOKUP(B429,Bibliotheques!$A$10:$B$59,2,FALSE)=0,"Nom manquant",VLOOKUP(B429,Bibliotheques!$A$10:$B$59,2,FALSE)),"Clé inconnue"))</f>
        <v/>
      </c>
      <c r="D429" s="6" t="s">
        <v>29</v>
      </c>
      <c r="E429" s="7" t="str">
        <f t="shared" si="6"/>
        <v/>
      </c>
      <c r="F429" s="6" t="s">
        <v>29</v>
      </c>
      <c r="G429" s="6" t="s">
        <v>29</v>
      </c>
      <c r="H429" s="8" t="str">
        <f>IF(A429="","",Bibliotheques!$B$5&amp;IF(RIGHT(Bibliotheques!$B$5,1)="/","","/")&amp;SUBSTITUTE(A429," ","%20"))</f>
        <v/>
      </c>
      <c r="I429" s="6" t="s">
        <v>29</v>
      </c>
      <c r="J429" s="6" t="s">
        <v>29</v>
      </c>
    </row>
    <row r="430" spans="1:10" ht="33.950000000000003" customHeight="1">
      <c r="A430" s="6" t="s">
        <v>29</v>
      </c>
      <c r="B430" s="6" t="s">
        <v>29</v>
      </c>
      <c r="C430" s="7" t="str">
        <f>IF(A430="","",IFERROR(IF(VLOOKUP(B430,Bibliotheques!$A$10:$B$59,2,FALSE)=0,"Nom manquant",VLOOKUP(B430,Bibliotheques!$A$10:$B$59,2,FALSE)),"Clé inconnue"))</f>
        <v/>
      </c>
      <c r="D430" s="6" t="s">
        <v>29</v>
      </c>
      <c r="E430" s="7" t="str">
        <f t="shared" si="6"/>
        <v/>
      </c>
      <c r="F430" s="6" t="s">
        <v>29</v>
      </c>
      <c r="G430" s="6" t="s">
        <v>29</v>
      </c>
      <c r="H430" s="8" t="str">
        <f>IF(A430="","",Bibliotheques!$B$5&amp;IF(RIGHT(Bibliotheques!$B$5,1)="/","","/")&amp;SUBSTITUTE(A430," ","%20"))</f>
        <v/>
      </c>
      <c r="I430" s="6" t="s">
        <v>29</v>
      </c>
      <c r="J430" s="6" t="s">
        <v>29</v>
      </c>
    </row>
    <row r="431" spans="1:10" ht="33.950000000000003" customHeight="1">
      <c r="A431" s="6" t="s">
        <v>29</v>
      </c>
      <c r="B431" s="6" t="s">
        <v>29</v>
      </c>
      <c r="C431" s="7" t="str">
        <f>IF(A431="","",IFERROR(IF(VLOOKUP(B431,Bibliotheques!$A$10:$B$59,2,FALSE)=0,"Nom manquant",VLOOKUP(B431,Bibliotheques!$A$10:$B$59,2,FALSE)),"Clé inconnue"))</f>
        <v/>
      </c>
      <c r="D431" s="6" t="s">
        <v>29</v>
      </c>
      <c r="E431" s="7" t="str">
        <f t="shared" si="6"/>
        <v/>
      </c>
      <c r="F431" s="6" t="s">
        <v>29</v>
      </c>
      <c r="G431" s="6" t="s">
        <v>29</v>
      </c>
      <c r="H431" s="8" t="str">
        <f>IF(A431="","",Bibliotheques!$B$5&amp;IF(RIGHT(Bibliotheques!$B$5,1)="/","","/")&amp;SUBSTITUTE(A431," ","%20"))</f>
        <v/>
      </c>
      <c r="I431" s="6" t="s">
        <v>29</v>
      </c>
      <c r="J431" s="6" t="s">
        <v>29</v>
      </c>
    </row>
    <row r="432" spans="1:10" ht="33.950000000000003" customHeight="1">
      <c r="A432" s="6" t="s">
        <v>29</v>
      </c>
      <c r="B432" s="6" t="s">
        <v>29</v>
      </c>
      <c r="C432" s="7" t="str">
        <f>IF(A432="","",IFERROR(IF(VLOOKUP(B432,Bibliotheques!$A$10:$B$59,2,FALSE)=0,"Nom manquant",VLOOKUP(B432,Bibliotheques!$A$10:$B$59,2,FALSE)),"Clé inconnue"))</f>
        <v/>
      </c>
      <c r="D432" s="6" t="s">
        <v>29</v>
      </c>
      <c r="E432" s="7" t="str">
        <f t="shared" si="6"/>
        <v/>
      </c>
      <c r="F432" s="6" t="s">
        <v>29</v>
      </c>
      <c r="G432" s="6" t="s">
        <v>29</v>
      </c>
      <c r="H432" s="8" t="str">
        <f>IF(A432="","",Bibliotheques!$B$5&amp;IF(RIGHT(Bibliotheques!$B$5,1)="/","","/")&amp;SUBSTITUTE(A432," ","%20"))</f>
        <v/>
      </c>
      <c r="I432" s="6" t="s">
        <v>29</v>
      </c>
      <c r="J432" s="6" t="s">
        <v>29</v>
      </c>
    </row>
    <row r="433" spans="1:10" ht="33.950000000000003" customHeight="1">
      <c r="A433" s="6" t="s">
        <v>29</v>
      </c>
      <c r="B433" s="6" t="s">
        <v>29</v>
      </c>
      <c r="C433" s="7" t="str">
        <f>IF(A433="","",IFERROR(IF(VLOOKUP(B433,Bibliotheques!$A$10:$B$59,2,FALSE)=0,"Nom manquant",VLOOKUP(B433,Bibliotheques!$A$10:$B$59,2,FALSE)),"Clé inconnue"))</f>
        <v/>
      </c>
      <c r="D433" s="6" t="s">
        <v>29</v>
      </c>
      <c r="E433" s="7" t="str">
        <f t="shared" si="6"/>
        <v/>
      </c>
      <c r="F433" s="6" t="s">
        <v>29</v>
      </c>
      <c r="G433" s="6" t="s">
        <v>29</v>
      </c>
      <c r="H433" s="8" t="str">
        <f>IF(A433="","",Bibliotheques!$B$5&amp;IF(RIGHT(Bibliotheques!$B$5,1)="/","","/")&amp;SUBSTITUTE(A433," ","%20"))</f>
        <v/>
      </c>
      <c r="I433" s="6" t="s">
        <v>29</v>
      </c>
      <c r="J433" s="6" t="s">
        <v>29</v>
      </c>
    </row>
    <row r="434" spans="1:10" ht="33.950000000000003" customHeight="1">
      <c r="A434" s="6" t="s">
        <v>29</v>
      </c>
      <c r="B434" s="6" t="s">
        <v>29</v>
      </c>
      <c r="C434" s="7" t="str">
        <f>IF(A434="","",IFERROR(IF(VLOOKUP(B434,Bibliotheques!$A$10:$B$59,2,FALSE)=0,"Nom manquant",VLOOKUP(B434,Bibliotheques!$A$10:$B$59,2,FALSE)),"Clé inconnue"))</f>
        <v/>
      </c>
      <c r="D434" s="6" t="s">
        <v>29</v>
      </c>
      <c r="E434" s="7" t="str">
        <f t="shared" si="6"/>
        <v/>
      </c>
      <c r="F434" s="6" t="s">
        <v>29</v>
      </c>
      <c r="G434" s="6" t="s">
        <v>29</v>
      </c>
      <c r="H434" s="8" t="str">
        <f>IF(A434="","",Bibliotheques!$B$5&amp;IF(RIGHT(Bibliotheques!$B$5,1)="/","","/")&amp;SUBSTITUTE(A434," ","%20"))</f>
        <v/>
      </c>
      <c r="I434" s="6" t="s">
        <v>29</v>
      </c>
      <c r="J434" s="6" t="s">
        <v>29</v>
      </c>
    </row>
    <row r="435" spans="1:10" ht="33.950000000000003" customHeight="1">
      <c r="A435" s="6" t="s">
        <v>29</v>
      </c>
      <c r="B435" s="6" t="s">
        <v>29</v>
      </c>
      <c r="C435" s="7" t="str">
        <f>IF(A435="","",IFERROR(IF(VLOOKUP(B435,Bibliotheques!$A$10:$B$59,2,FALSE)=0,"Nom manquant",VLOOKUP(B435,Bibliotheques!$A$10:$B$59,2,FALSE)),"Clé inconnue"))</f>
        <v/>
      </c>
      <c r="D435" s="6" t="s">
        <v>29</v>
      </c>
      <c r="E435" s="7" t="str">
        <f t="shared" si="6"/>
        <v/>
      </c>
      <c r="F435" s="6" t="s">
        <v>29</v>
      </c>
      <c r="G435" s="6" t="s">
        <v>29</v>
      </c>
      <c r="H435" s="8" t="str">
        <f>IF(A435="","",Bibliotheques!$B$5&amp;IF(RIGHT(Bibliotheques!$B$5,1)="/","","/")&amp;SUBSTITUTE(A435," ","%20"))</f>
        <v/>
      </c>
      <c r="I435" s="6" t="s">
        <v>29</v>
      </c>
      <c r="J435" s="6" t="s">
        <v>29</v>
      </c>
    </row>
    <row r="436" spans="1:10" ht="33.950000000000003" customHeight="1">
      <c r="A436" s="6" t="s">
        <v>29</v>
      </c>
      <c r="B436" s="6" t="s">
        <v>29</v>
      </c>
      <c r="C436" s="7" t="str">
        <f>IF(A436="","",IFERROR(IF(VLOOKUP(B436,Bibliotheques!$A$10:$B$59,2,FALSE)=0,"Nom manquant",VLOOKUP(B436,Bibliotheques!$A$10:$B$59,2,FALSE)),"Clé inconnue"))</f>
        <v/>
      </c>
      <c r="D436" s="6" t="s">
        <v>29</v>
      </c>
      <c r="E436" s="7" t="str">
        <f t="shared" si="6"/>
        <v/>
      </c>
      <c r="F436" s="6" t="s">
        <v>29</v>
      </c>
      <c r="G436" s="6" t="s">
        <v>29</v>
      </c>
      <c r="H436" s="8" t="str">
        <f>IF(A436="","",Bibliotheques!$B$5&amp;IF(RIGHT(Bibliotheques!$B$5,1)="/","","/")&amp;SUBSTITUTE(A436," ","%20"))</f>
        <v/>
      </c>
      <c r="I436" s="6" t="s">
        <v>29</v>
      </c>
      <c r="J436" s="6" t="s">
        <v>29</v>
      </c>
    </row>
    <row r="437" spans="1:10" ht="33.950000000000003" customHeight="1">
      <c r="A437" s="6" t="s">
        <v>29</v>
      </c>
      <c r="B437" s="6" t="s">
        <v>29</v>
      </c>
      <c r="C437" s="7" t="str">
        <f>IF(A437="","",IFERROR(IF(VLOOKUP(B437,Bibliotheques!$A$10:$B$59,2,FALSE)=0,"Nom manquant",VLOOKUP(B437,Bibliotheques!$A$10:$B$59,2,FALSE)),"Clé inconnue"))</f>
        <v/>
      </c>
      <c r="D437" s="6" t="s">
        <v>29</v>
      </c>
      <c r="E437" s="7" t="str">
        <f t="shared" si="6"/>
        <v/>
      </c>
      <c r="F437" s="6" t="s">
        <v>29</v>
      </c>
      <c r="G437" s="6" t="s">
        <v>29</v>
      </c>
      <c r="H437" s="8" t="str">
        <f>IF(A437="","",Bibliotheques!$B$5&amp;IF(RIGHT(Bibliotheques!$B$5,1)="/","","/")&amp;SUBSTITUTE(A437," ","%20"))</f>
        <v/>
      </c>
      <c r="I437" s="6" t="s">
        <v>29</v>
      </c>
      <c r="J437" s="6" t="s">
        <v>29</v>
      </c>
    </row>
    <row r="438" spans="1:10" ht="33.950000000000003" customHeight="1">
      <c r="A438" s="6" t="s">
        <v>29</v>
      </c>
      <c r="B438" s="6" t="s">
        <v>29</v>
      </c>
      <c r="C438" s="7" t="str">
        <f>IF(A438="","",IFERROR(IF(VLOOKUP(B438,Bibliotheques!$A$10:$B$59,2,FALSE)=0,"Nom manquant",VLOOKUP(B438,Bibliotheques!$A$10:$B$59,2,FALSE)),"Clé inconnue"))</f>
        <v/>
      </c>
      <c r="D438" s="6" t="s">
        <v>29</v>
      </c>
      <c r="E438" s="7" t="str">
        <f t="shared" si="6"/>
        <v/>
      </c>
      <c r="F438" s="6" t="s">
        <v>29</v>
      </c>
      <c r="G438" s="6" t="s">
        <v>29</v>
      </c>
      <c r="H438" s="8" t="str">
        <f>IF(A438="","",Bibliotheques!$B$5&amp;IF(RIGHT(Bibliotheques!$B$5,1)="/","","/")&amp;SUBSTITUTE(A438," ","%20"))</f>
        <v/>
      </c>
      <c r="I438" s="6" t="s">
        <v>29</v>
      </c>
      <c r="J438" s="6" t="s">
        <v>29</v>
      </c>
    </row>
    <row r="439" spans="1:10" ht="33.950000000000003" customHeight="1">
      <c r="A439" s="6" t="s">
        <v>29</v>
      </c>
      <c r="B439" s="6" t="s">
        <v>29</v>
      </c>
      <c r="C439" s="7" t="str">
        <f>IF(A439="","",IFERROR(IF(VLOOKUP(B439,Bibliotheques!$A$10:$B$59,2,FALSE)=0,"Nom manquant",VLOOKUP(B439,Bibliotheques!$A$10:$B$59,2,FALSE)),"Clé inconnue"))</f>
        <v/>
      </c>
      <c r="D439" s="6" t="s">
        <v>29</v>
      </c>
      <c r="E439" s="7" t="str">
        <f t="shared" si="6"/>
        <v/>
      </c>
      <c r="F439" s="6" t="s">
        <v>29</v>
      </c>
      <c r="G439" s="6" t="s">
        <v>29</v>
      </c>
      <c r="H439" s="8" t="str">
        <f>IF(A439="","",Bibliotheques!$B$5&amp;IF(RIGHT(Bibliotheques!$B$5,1)="/","","/")&amp;SUBSTITUTE(A439," ","%20"))</f>
        <v/>
      </c>
      <c r="I439" s="6" t="s">
        <v>29</v>
      </c>
      <c r="J439" s="6" t="s">
        <v>29</v>
      </c>
    </row>
    <row r="440" spans="1:10" ht="33.950000000000003" customHeight="1">
      <c r="A440" s="6" t="s">
        <v>29</v>
      </c>
      <c r="B440" s="6" t="s">
        <v>29</v>
      </c>
      <c r="C440" s="7" t="str">
        <f>IF(A440="","",IFERROR(IF(VLOOKUP(B440,Bibliotheques!$A$10:$B$59,2,FALSE)=0,"Nom manquant",VLOOKUP(B440,Bibliotheques!$A$10:$B$59,2,FALSE)),"Clé inconnue"))</f>
        <v/>
      </c>
      <c r="D440" s="6" t="s">
        <v>29</v>
      </c>
      <c r="E440" s="7" t="str">
        <f t="shared" si="6"/>
        <v/>
      </c>
      <c r="F440" s="6" t="s">
        <v>29</v>
      </c>
      <c r="G440" s="6" t="s">
        <v>29</v>
      </c>
      <c r="H440" s="8" t="str">
        <f>IF(A440="","",Bibliotheques!$B$5&amp;IF(RIGHT(Bibliotheques!$B$5,1)="/","","/")&amp;SUBSTITUTE(A440," ","%20"))</f>
        <v/>
      </c>
      <c r="I440" s="6" t="s">
        <v>29</v>
      </c>
      <c r="J440" s="6" t="s">
        <v>29</v>
      </c>
    </row>
    <row r="441" spans="1:10" ht="33.950000000000003" customHeight="1">
      <c r="A441" s="6" t="s">
        <v>29</v>
      </c>
      <c r="B441" s="6" t="s">
        <v>29</v>
      </c>
      <c r="C441" s="7" t="str">
        <f>IF(A441="","",IFERROR(IF(VLOOKUP(B441,Bibliotheques!$A$10:$B$59,2,FALSE)=0,"Nom manquant",VLOOKUP(B441,Bibliotheques!$A$10:$B$59,2,FALSE)),"Clé inconnue"))</f>
        <v/>
      </c>
      <c r="D441" s="6" t="s">
        <v>29</v>
      </c>
      <c r="E441" s="7" t="str">
        <f t="shared" si="6"/>
        <v/>
      </c>
      <c r="F441" s="6" t="s">
        <v>29</v>
      </c>
      <c r="G441" s="6" t="s">
        <v>29</v>
      </c>
      <c r="H441" s="8" t="str">
        <f>IF(A441="","",Bibliotheques!$B$5&amp;IF(RIGHT(Bibliotheques!$B$5,1)="/","","/")&amp;SUBSTITUTE(A441," ","%20"))</f>
        <v/>
      </c>
      <c r="I441" s="6" t="s">
        <v>29</v>
      </c>
      <c r="J441" s="6" t="s">
        <v>29</v>
      </c>
    </row>
    <row r="442" spans="1:10" ht="33.950000000000003" customHeight="1">
      <c r="A442" s="6" t="s">
        <v>29</v>
      </c>
      <c r="B442" s="6" t="s">
        <v>29</v>
      </c>
      <c r="C442" s="7" t="str">
        <f>IF(A442="","",IFERROR(IF(VLOOKUP(B442,Bibliotheques!$A$10:$B$59,2,FALSE)=0,"Nom manquant",VLOOKUP(B442,Bibliotheques!$A$10:$B$59,2,FALSE)),"Clé inconnue"))</f>
        <v/>
      </c>
      <c r="D442" s="6" t="s">
        <v>29</v>
      </c>
      <c r="E442" s="7" t="str">
        <f t="shared" si="6"/>
        <v/>
      </c>
      <c r="F442" s="6" t="s">
        <v>29</v>
      </c>
      <c r="G442" s="6" t="s">
        <v>29</v>
      </c>
      <c r="H442" s="8" t="str">
        <f>IF(A442="","",Bibliotheques!$B$5&amp;IF(RIGHT(Bibliotheques!$B$5,1)="/","","/")&amp;SUBSTITUTE(A442," ","%20"))</f>
        <v/>
      </c>
      <c r="I442" s="6" t="s">
        <v>29</v>
      </c>
      <c r="J442" s="6" t="s">
        <v>29</v>
      </c>
    </row>
    <row r="443" spans="1:10" ht="33.950000000000003" customHeight="1">
      <c r="A443" s="6" t="s">
        <v>29</v>
      </c>
      <c r="B443" s="6" t="s">
        <v>29</v>
      </c>
      <c r="C443" s="7" t="str">
        <f>IF(A443="","",IFERROR(IF(VLOOKUP(B443,Bibliotheques!$A$10:$B$59,2,FALSE)=0,"Nom manquant",VLOOKUP(B443,Bibliotheques!$A$10:$B$59,2,FALSE)),"Clé inconnue"))</f>
        <v/>
      </c>
      <c r="D443" s="6" t="s">
        <v>29</v>
      </c>
      <c r="E443" s="7" t="str">
        <f t="shared" si="6"/>
        <v/>
      </c>
      <c r="F443" s="6" t="s">
        <v>29</v>
      </c>
      <c r="G443" s="6" t="s">
        <v>29</v>
      </c>
      <c r="H443" s="8" t="str">
        <f>IF(A443="","",Bibliotheques!$B$5&amp;IF(RIGHT(Bibliotheques!$B$5,1)="/","","/")&amp;SUBSTITUTE(A443," ","%20"))</f>
        <v/>
      </c>
      <c r="I443" s="6" t="s">
        <v>29</v>
      </c>
      <c r="J443" s="6" t="s">
        <v>29</v>
      </c>
    </row>
    <row r="444" spans="1:10" ht="33.950000000000003" customHeight="1">
      <c r="A444" s="6" t="s">
        <v>29</v>
      </c>
      <c r="B444" s="6" t="s">
        <v>29</v>
      </c>
      <c r="C444" s="7" t="str">
        <f>IF(A444="","",IFERROR(IF(VLOOKUP(B444,Bibliotheques!$A$10:$B$59,2,FALSE)=0,"Nom manquant",VLOOKUP(B444,Bibliotheques!$A$10:$B$59,2,FALSE)),"Clé inconnue"))</f>
        <v/>
      </c>
      <c r="D444" s="6" t="s">
        <v>29</v>
      </c>
      <c r="E444" s="7" t="str">
        <f t="shared" si="6"/>
        <v/>
      </c>
      <c r="F444" s="6" t="s">
        <v>29</v>
      </c>
      <c r="G444" s="6" t="s">
        <v>29</v>
      </c>
      <c r="H444" s="8" t="str">
        <f>IF(A444="","",Bibliotheques!$B$5&amp;IF(RIGHT(Bibliotheques!$B$5,1)="/","","/")&amp;SUBSTITUTE(A444," ","%20"))</f>
        <v/>
      </c>
      <c r="I444" s="6" t="s">
        <v>29</v>
      </c>
      <c r="J444" s="6" t="s">
        <v>29</v>
      </c>
    </row>
    <row r="445" spans="1:10" ht="33.950000000000003" customHeight="1">
      <c r="A445" s="6" t="s">
        <v>29</v>
      </c>
      <c r="B445" s="6" t="s">
        <v>29</v>
      </c>
      <c r="C445" s="7" t="str">
        <f>IF(A445="","",IFERROR(IF(VLOOKUP(B445,Bibliotheques!$A$10:$B$59,2,FALSE)=0,"Nom manquant",VLOOKUP(B445,Bibliotheques!$A$10:$B$59,2,FALSE)),"Clé inconnue"))</f>
        <v/>
      </c>
      <c r="D445" s="6" t="s">
        <v>29</v>
      </c>
      <c r="E445" s="7" t="str">
        <f t="shared" si="6"/>
        <v/>
      </c>
      <c r="F445" s="6" t="s">
        <v>29</v>
      </c>
      <c r="G445" s="6" t="s">
        <v>29</v>
      </c>
      <c r="H445" s="8" t="str">
        <f>IF(A445="","",Bibliotheques!$B$5&amp;IF(RIGHT(Bibliotheques!$B$5,1)="/","","/")&amp;SUBSTITUTE(A445," ","%20"))</f>
        <v/>
      </c>
      <c r="I445" s="6" t="s">
        <v>29</v>
      </c>
      <c r="J445" s="6" t="s">
        <v>29</v>
      </c>
    </row>
    <row r="446" spans="1:10" ht="33.950000000000003" customHeight="1">
      <c r="A446" s="6" t="s">
        <v>29</v>
      </c>
      <c r="B446" s="6" t="s">
        <v>29</v>
      </c>
      <c r="C446" s="7" t="str">
        <f>IF(A446="","",IFERROR(IF(VLOOKUP(B446,Bibliotheques!$A$10:$B$59,2,FALSE)=0,"Nom manquant",VLOOKUP(B446,Bibliotheques!$A$10:$B$59,2,FALSE)),"Clé inconnue"))</f>
        <v/>
      </c>
      <c r="D446" s="6" t="s">
        <v>29</v>
      </c>
      <c r="E446" s="7" t="str">
        <f t="shared" si="6"/>
        <v/>
      </c>
      <c r="F446" s="6" t="s">
        <v>29</v>
      </c>
      <c r="G446" s="6" t="s">
        <v>29</v>
      </c>
      <c r="H446" s="8" t="str">
        <f>IF(A446="","",Bibliotheques!$B$5&amp;IF(RIGHT(Bibliotheques!$B$5,1)="/","","/")&amp;SUBSTITUTE(A446," ","%20"))</f>
        <v/>
      </c>
      <c r="I446" s="6" t="s">
        <v>29</v>
      </c>
      <c r="J446" s="6" t="s">
        <v>29</v>
      </c>
    </row>
    <row r="447" spans="1:10" ht="33.950000000000003" customHeight="1">
      <c r="A447" s="6" t="s">
        <v>29</v>
      </c>
      <c r="B447" s="6" t="s">
        <v>29</v>
      </c>
      <c r="C447" s="7" t="str">
        <f>IF(A447="","",IFERROR(IF(VLOOKUP(B447,Bibliotheques!$A$10:$B$59,2,FALSE)=0,"Nom manquant",VLOOKUP(B447,Bibliotheques!$A$10:$B$59,2,FALSE)),"Clé inconnue"))</f>
        <v/>
      </c>
      <c r="D447" s="6" t="s">
        <v>29</v>
      </c>
      <c r="E447" s="7" t="str">
        <f t="shared" si="6"/>
        <v/>
      </c>
      <c r="F447" s="6" t="s">
        <v>29</v>
      </c>
      <c r="G447" s="6" t="s">
        <v>29</v>
      </c>
      <c r="H447" s="8" t="str">
        <f>IF(A447="","",Bibliotheques!$B$5&amp;IF(RIGHT(Bibliotheques!$B$5,1)="/","","/")&amp;SUBSTITUTE(A447," ","%20"))</f>
        <v/>
      </c>
      <c r="I447" s="6" t="s">
        <v>29</v>
      </c>
      <c r="J447" s="6" t="s">
        <v>29</v>
      </c>
    </row>
    <row r="448" spans="1:10" ht="33.950000000000003" customHeight="1">
      <c r="A448" s="6" t="s">
        <v>29</v>
      </c>
      <c r="B448" s="6" t="s">
        <v>29</v>
      </c>
      <c r="C448" s="7" t="str">
        <f>IF(A448="","",IFERROR(IF(VLOOKUP(B448,Bibliotheques!$A$10:$B$59,2,FALSE)=0,"Nom manquant",VLOOKUP(B448,Bibliotheques!$A$10:$B$59,2,FALSE)),"Clé inconnue"))</f>
        <v/>
      </c>
      <c r="D448" s="6" t="s">
        <v>29</v>
      </c>
      <c r="E448" s="7" t="str">
        <f t="shared" si="6"/>
        <v/>
      </c>
      <c r="F448" s="6" t="s">
        <v>29</v>
      </c>
      <c r="G448" s="6" t="s">
        <v>29</v>
      </c>
      <c r="H448" s="8" t="str">
        <f>IF(A448="","",Bibliotheques!$B$5&amp;IF(RIGHT(Bibliotheques!$B$5,1)="/","","/")&amp;SUBSTITUTE(A448," ","%20"))</f>
        <v/>
      </c>
      <c r="I448" s="6" t="s">
        <v>29</v>
      </c>
      <c r="J448" s="6" t="s">
        <v>29</v>
      </c>
    </row>
    <row r="449" spans="1:10" ht="33.950000000000003" customHeight="1">
      <c r="A449" s="6" t="s">
        <v>29</v>
      </c>
      <c r="B449" s="6" t="s">
        <v>29</v>
      </c>
      <c r="C449" s="7" t="str">
        <f>IF(A449="","",IFERROR(IF(VLOOKUP(B449,Bibliotheques!$A$10:$B$59,2,FALSE)=0,"Nom manquant",VLOOKUP(B449,Bibliotheques!$A$10:$B$59,2,FALSE)),"Clé inconnue"))</f>
        <v/>
      </c>
      <c r="D449" s="6" t="s">
        <v>29</v>
      </c>
      <c r="E449" s="7" t="str">
        <f t="shared" si="6"/>
        <v/>
      </c>
      <c r="F449" s="6" t="s">
        <v>29</v>
      </c>
      <c r="G449" s="6" t="s">
        <v>29</v>
      </c>
      <c r="H449" s="8" t="str">
        <f>IF(A449="","",Bibliotheques!$B$5&amp;IF(RIGHT(Bibliotheques!$B$5,1)="/","","/")&amp;SUBSTITUTE(A449," ","%20"))</f>
        <v/>
      </c>
      <c r="I449" s="6" t="s">
        <v>29</v>
      </c>
      <c r="J449" s="6" t="s">
        <v>29</v>
      </c>
    </row>
    <row r="450" spans="1:10" ht="33.950000000000003" customHeight="1">
      <c r="A450" s="6" t="s">
        <v>29</v>
      </c>
      <c r="B450" s="6" t="s">
        <v>29</v>
      </c>
      <c r="C450" s="7" t="str">
        <f>IF(A450="","",IFERROR(IF(VLOOKUP(B450,Bibliotheques!$A$10:$B$59,2,FALSE)=0,"Nom manquant",VLOOKUP(B450,Bibliotheques!$A$10:$B$59,2,FALSE)),"Clé inconnue"))</f>
        <v/>
      </c>
      <c r="D450" s="6" t="s">
        <v>29</v>
      </c>
      <c r="E450" s="7" t="str">
        <f t="shared" si="6"/>
        <v/>
      </c>
      <c r="F450" s="6" t="s">
        <v>29</v>
      </c>
      <c r="G450" s="6" t="s">
        <v>29</v>
      </c>
      <c r="H450" s="8" t="str">
        <f>IF(A450="","",Bibliotheques!$B$5&amp;IF(RIGHT(Bibliotheques!$B$5,1)="/","","/")&amp;SUBSTITUTE(A450," ","%20"))</f>
        <v/>
      </c>
      <c r="I450" s="6" t="s">
        <v>29</v>
      </c>
      <c r="J450" s="6" t="s">
        <v>29</v>
      </c>
    </row>
    <row r="451" spans="1:10" ht="33.950000000000003" customHeight="1">
      <c r="A451" s="6" t="s">
        <v>29</v>
      </c>
      <c r="B451" s="6" t="s">
        <v>29</v>
      </c>
      <c r="C451" s="7" t="str">
        <f>IF(A451="","",IFERROR(IF(VLOOKUP(B451,Bibliotheques!$A$10:$B$59,2,FALSE)=0,"Nom manquant",VLOOKUP(B451,Bibliotheques!$A$10:$B$59,2,FALSE)),"Clé inconnue"))</f>
        <v/>
      </c>
      <c r="D451" s="6" t="s">
        <v>29</v>
      </c>
      <c r="E451" s="7" t="str">
        <f t="shared" si="6"/>
        <v/>
      </c>
      <c r="F451" s="6" t="s">
        <v>29</v>
      </c>
      <c r="G451" s="6" t="s">
        <v>29</v>
      </c>
      <c r="H451" s="8" t="str">
        <f>IF(A451="","",Bibliotheques!$B$5&amp;IF(RIGHT(Bibliotheques!$B$5,1)="/","","/")&amp;SUBSTITUTE(A451," ","%20"))</f>
        <v/>
      </c>
      <c r="I451" s="6" t="s">
        <v>29</v>
      </c>
      <c r="J451" s="6" t="s">
        <v>29</v>
      </c>
    </row>
    <row r="452" spans="1:10" ht="33.950000000000003" customHeight="1">
      <c r="A452" s="6" t="s">
        <v>29</v>
      </c>
      <c r="B452" s="6" t="s">
        <v>29</v>
      </c>
      <c r="C452" s="7" t="str">
        <f>IF(A452="","",IFERROR(IF(VLOOKUP(B452,Bibliotheques!$A$10:$B$59,2,FALSE)=0,"Nom manquant",VLOOKUP(B452,Bibliotheques!$A$10:$B$59,2,FALSE)),"Clé inconnue"))</f>
        <v/>
      </c>
      <c r="D452" s="6" t="s">
        <v>29</v>
      </c>
      <c r="E452" s="7" t="str">
        <f t="shared" si="6"/>
        <v/>
      </c>
      <c r="F452" s="6" t="s">
        <v>29</v>
      </c>
      <c r="G452" s="6" t="s">
        <v>29</v>
      </c>
      <c r="H452" s="8" t="str">
        <f>IF(A452="","",Bibliotheques!$B$5&amp;IF(RIGHT(Bibliotheques!$B$5,1)="/","","/")&amp;SUBSTITUTE(A452," ","%20"))</f>
        <v/>
      </c>
      <c r="I452" s="6" t="s">
        <v>29</v>
      </c>
      <c r="J452" s="6" t="s">
        <v>29</v>
      </c>
    </row>
    <row r="453" spans="1:10" ht="33.950000000000003" customHeight="1">
      <c r="A453" s="6" t="s">
        <v>29</v>
      </c>
      <c r="B453" s="6" t="s">
        <v>29</v>
      </c>
      <c r="C453" s="7" t="str">
        <f>IF(A453="","",IFERROR(IF(VLOOKUP(B453,Bibliotheques!$A$10:$B$59,2,FALSE)=0,"Nom manquant",VLOOKUP(B453,Bibliotheques!$A$10:$B$59,2,FALSE)),"Clé inconnue"))</f>
        <v/>
      </c>
      <c r="D453" s="6" t="s">
        <v>29</v>
      </c>
      <c r="E453" s="7" t="str">
        <f t="shared" si="6"/>
        <v/>
      </c>
      <c r="F453" s="6" t="s">
        <v>29</v>
      </c>
      <c r="G453" s="6" t="s">
        <v>29</v>
      </c>
      <c r="H453" s="8" t="str">
        <f>IF(A453="","",Bibliotheques!$B$5&amp;IF(RIGHT(Bibliotheques!$B$5,1)="/","","/")&amp;SUBSTITUTE(A453," ","%20"))</f>
        <v/>
      </c>
      <c r="I453" s="6" t="s">
        <v>29</v>
      </c>
      <c r="J453" s="6" t="s">
        <v>29</v>
      </c>
    </row>
    <row r="454" spans="1:10" ht="33.950000000000003" customHeight="1">
      <c r="A454" s="6" t="s">
        <v>29</v>
      </c>
      <c r="B454" s="6" t="s">
        <v>29</v>
      </c>
      <c r="C454" s="7" t="str">
        <f>IF(A454="","",IFERROR(IF(VLOOKUP(B454,Bibliotheques!$A$10:$B$59,2,FALSE)=0,"Nom manquant",VLOOKUP(B454,Bibliotheques!$A$10:$B$59,2,FALSE)),"Clé inconnue"))</f>
        <v/>
      </c>
      <c r="D454" s="6" t="s">
        <v>29</v>
      </c>
      <c r="E454" s="7" t="str">
        <f t="shared" ref="E454:E517" si="7">IF(A454="","",LOWER(B454&amp;"-"&amp;SUBSTITUTE(SUBSTITUTE(SUBSTITUTE(LOWER(A454),".svg","")," ","-"),"/","-")))</f>
        <v/>
      </c>
      <c r="F454" s="6" t="s">
        <v>29</v>
      </c>
      <c r="G454" s="6" t="s">
        <v>29</v>
      </c>
      <c r="H454" s="8" t="str">
        <f>IF(A454="","",Bibliotheques!$B$5&amp;IF(RIGHT(Bibliotheques!$B$5,1)="/","","/")&amp;SUBSTITUTE(A454," ","%20"))</f>
        <v/>
      </c>
      <c r="I454" s="6" t="s">
        <v>29</v>
      </c>
      <c r="J454" s="6" t="s">
        <v>29</v>
      </c>
    </row>
    <row r="455" spans="1:10" ht="33.950000000000003" customHeight="1">
      <c r="A455" s="6" t="s">
        <v>29</v>
      </c>
      <c r="B455" s="6" t="s">
        <v>29</v>
      </c>
      <c r="C455" s="7" t="str">
        <f>IF(A455="","",IFERROR(IF(VLOOKUP(B455,Bibliotheques!$A$10:$B$59,2,FALSE)=0,"Nom manquant",VLOOKUP(B455,Bibliotheques!$A$10:$B$59,2,FALSE)),"Clé inconnue"))</f>
        <v/>
      </c>
      <c r="D455" s="6" t="s">
        <v>29</v>
      </c>
      <c r="E455" s="7" t="str">
        <f t="shared" si="7"/>
        <v/>
      </c>
      <c r="F455" s="6" t="s">
        <v>29</v>
      </c>
      <c r="G455" s="6" t="s">
        <v>29</v>
      </c>
      <c r="H455" s="8" t="str">
        <f>IF(A455="","",Bibliotheques!$B$5&amp;IF(RIGHT(Bibliotheques!$B$5,1)="/","","/")&amp;SUBSTITUTE(A455," ","%20"))</f>
        <v/>
      </c>
      <c r="I455" s="6" t="s">
        <v>29</v>
      </c>
      <c r="J455" s="6" t="s">
        <v>29</v>
      </c>
    </row>
    <row r="456" spans="1:10" ht="33.950000000000003" customHeight="1">
      <c r="A456" s="6" t="s">
        <v>29</v>
      </c>
      <c r="B456" s="6" t="s">
        <v>29</v>
      </c>
      <c r="C456" s="7" t="str">
        <f>IF(A456="","",IFERROR(IF(VLOOKUP(B456,Bibliotheques!$A$10:$B$59,2,FALSE)=0,"Nom manquant",VLOOKUP(B456,Bibliotheques!$A$10:$B$59,2,FALSE)),"Clé inconnue"))</f>
        <v/>
      </c>
      <c r="D456" s="6" t="s">
        <v>29</v>
      </c>
      <c r="E456" s="7" t="str">
        <f t="shared" si="7"/>
        <v/>
      </c>
      <c r="F456" s="6" t="s">
        <v>29</v>
      </c>
      <c r="G456" s="6" t="s">
        <v>29</v>
      </c>
      <c r="H456" s="8" t="str">
        <f>IF(A456="","",Bibliotheques!$B$5&amp;IF(RIGHT(Bibliotheques!$B$5,1)="/","","/")&amp;SUBSTITUTE(A456," ","%20"))</f>
        <v/>
      </c>
      <c r="I456" s="6" t="s">
        <v>29</v>
      </c>
      <c r="J456" s="6" t="s">
        <v>29</v>
      </c>
    </row>
    <row r="457" spans="1:10" ht="33.950000000000003" customHeight="1">
      <c r="A457" s="6" t="s">
        <v>29</v>
      </c>
      <c r="B457" s="6" t="s">
        <v>29</v>
      </c>
      <c r="C457" s="7" t="str">
        <f>IF(A457="","",IFERROR(IF(VLOOKUP(B457,Bibliotheques!$A$10:$B$59,2,FALSE)=0,"Nom manquant",VLOOKUP(B457,Bibliotheques!$A$10:$B$59,2,FALSE)),"Clé inconnue"))</f>
        <v/>
      </c>
      <c r="D457" s="6" t="s">
        <v>29</v>
      </c>
      <c r="E457" s="7" t="str">
        <f t="shared" si="7"/>
        <v/>
      </c>
      <c r="F457" s="6" t="s">
        <v>29</v>
      </c>
      <c r="G457" s="6" t="s">
        <v>29</v>
      </c>
      <c r="H457" s="8" t="str">
        <f>IF(A457="","",Bibliotheques!$B$5&amp;IF(RIGHT(Bibliotheques!$B$5,1)="/","","/")&amp;SUBSTITUTE(A457," ","%20"))</f>
        <v/>
      </c>
      <c r="I457" s="6" t="s">
        <v>29</v>
      </c>
      <c r="J457" s="6" t="s">
        <v>29</v>
      </c>
    </row>
    <row r="458" spans="1:10" ht="33.950000000000003" customHeight="1">
      <c r="A458" s="6" t="s">
        <v>29</v>
      </c>
      <c r="B458" s="6" t="s">
        <v>29</v>
      </c>
      <c r="C458" s="7" t="str">
        <f>IF(A458="","",IFERROR(IF(VLOOKUP(B458,Bibliotheques!$A$10:$B$59,2,FALSE)=0,"Nom manquant",VLOOKUP(B458,Bibliotheques!$A$10:$B$59,2,FALSE)),"Clé inconnue"))</f>
        <v/>
      </c>
      <c r="D458" s="6" t="s">
        <v>29</v>
      </c>
      <c r="E458" s="7" t="str">
        <f t="shared" si="7"/>
        <v/>
      </c>
      <c r="F458" s="6" t="s">
        <v>29</v>
      </c>
      <c r="G458" s="6" t="s">
        <v>29</v>
      </c>
      <c r="H458" s="8" t="str">
        <f>IF(A458="","",Bibliotheques!$B$5&amp;IF(RIGHT(Bibliotheques!$B$5,1)="/","","/")&amp;SUBSTITUTE(A458," ","%20"))</f>
        <v/>
      </c>
      <c r="I458" s="6" t="s">
        <v>29</v>
      </c>
      <c r="J458" s="6" t="s">
        <v>29</v>
      </c>
    </row>
    <row r="459" spans="1:10" ht="33.950000000000003" customHeight="1">
      <c r="A459" s="6" t="s">
        <v>29</v>
      </c>
      <c r="B459" s="6" t="s">
        <v>29</v>
      </c>
      <c r="C459" s="7" t="str">
        <f>IF(A459="","",IFERROR(IF(VLOOKUP(B459,Bibliotheques!$A$10:$B$59,2,FALSE)=0,"Nom manquant",VLOOKUP(B459,Bibliotheques!$A$10:$B$59,2,FALSE)),"Clé inconnue"))</f>
        <v/>
      </c>
      <c r="D459" s="6" t="s">
        <v>29</v>
      </c>
      <c r="E459" s="7" t="str">
        <f t="shared" si="7"/>
        <v/>
      </c>
      <c r="F459" s="6" t="s">
        <v>29</v>
      </c>
      <c r="G459" s="6" t="s">
        <v>29</v>
      </c>
      <c r="H459" s="8" t="str">
        <f>IF(A459="","",Bibliotheques!$B$5&amp;IF(RIGHT(Bibliotheques!$B$5,1)="/","","/")&amp;SUBSTITUTE(A459," ","%20"))</f>
        <v/>
      </c>
      <c r="I459" s="6" t="s">
        <v>29</v>
      </c>
      <c r="J459" s="6" t="s">
        <v>29</v>
      </c>
    </row>
    <row r="460" spans="1:10" ht="33.950000000000003" customHeight="1">
      <c r="A460" s="6" t="s">
        <v>29</v>
      </c>
      <c r="B460" s="6" t="s">
        <v>29</v>
      </c>
      <c r="C460" s="7" t="str">
        <f>IF(A460="","",IFERROR(IF(VLOOKUP(B460,Bibliotheques!$A$10:$B$59,2,FALSE)=0,"Nom manquant",VLOOKUP(B460,Bibliotheques!$A$10:$B$59,2,FALSE)),"Clé inconnue"))</f>
        <v/>
      </c>
      <c r="D460" s="6" t="s">
        <v>29</v>
      </c>
      <c r="E460" s="7" t="str">
        <f t="shared" si="7"/>
        <v/>
      </c>
      <c r="F460" s="6" t="s">
        <v>29</v>
      </c>
      <c r="G460" s="6" t="s">
        <v>29</v>
      </c>
      <c r="H460" s="8" t="str">
        <f>IF(A460="","",Bibliotheques!$B$5&amp;IF(RIGHT(Bibliotheques!$B$5,1)="/","","/")&amp;SUBSTITUTE(A460," ","%20"))</f>
        <v/>
      </c>
      <c r="I460" s="6" t="s">
        <v>29</v>
      </c>
      <c r="J460" s="6" t="s">
        <v>29</v>
      </c>
    </row>
    <row r="461" spans="1:10" ht="33.950000000000003" customHeight="1">
      <c r="A461" s="6" t="s">
        <v>29</v>
      </c>
      <c r="B461" s="6" t="s">
        <v>29</v>
      </c>
      <c r="C461" s="7" t="str">
        <f>IF(A461="","",IFERROR(IF(VLOOKUP(B461,Bibliotheques!$A$10:$B$59,2,FALSE)=0,"Nom manquant",VLOOKUP(B461,Bibliotheques!$A$10:$B$59,2,FALSE)),"Clé inconnue"))</f>
        <v/>
      </c>
      <c r="D461" s="6" t="s">
        <v>29</v>
      </c>
      <c r="E461" s="7" t="str">
        <f t="shared" si="7"/>
        <v/>
      </c>
      <c r="F461" s="6" t="s">
        <v>29</v>
      </c>
      <c r="G461" s="6" t="s">
        <v>29</v>
      </c>
      <c r="H461" s="8" t="str">
        <f>IF(A461="","",Bibliotheques!$B$5&amp;IF(RIGHT(Bibliotheques!$B$5,1)="/","","/")&amp;SUBSTITUTE(A461," ","%20"))</f>
        <v/>
      </c>
      <c r="I461" s="6" t="s">
        <v>29</v>
      </c>
      <c r="J461" s="6" t="s">
        <v>29</v>
      </c>
    </row>
    <row r="462" spans="1:10" ht="33.950000000000003" customHeight="1">
      <c r="A462" s="6" t="s">
        <v>29</v>
      </c>
      <c r="B462" s="6" t="s">
        <v>29</v>
      </c>
      <c r="C462" s="7" t="str">
        <f>IF(A462="","",IFERROR(IF(VLOOKUP(B462,Bibliotheques!$A$10:$B$59,2,FALSE)=0,"Nom manquant",VLOOKUP(B462,Bibliotheques!$A$10:$B$59,2,FALSE)),"Clé inconnue"))</f>
        <v/>
      </c>
      <c r="D462" s="6" t="s">
        <v>29</v>
      </c>
      <c r="E462" s="7" t="str">
        <f t="shared" si="7"/>
        <v/>
      </c>
      <c r="F462" s="6" t="s">
        <v>29</v>
      </c>
      <c r="G462" s="6" t="s">
        <v>29</v>
      </c>
      <c r="H462" s="8" t="str">
        <f>IF(A462="","",Bibliotheques!$B$5&amp;IF(RIGHT(Bibliotheques!$B$5,1)="/","","/")&amp;SUBSTITUTE(A462," ","%20"))</f>
        <v/>
      </c>
      <c r="I462" s="6" t="s">
        <v>29</v>
      </c>
      <c r="J462" s="6" t="s">
        <v>29</v>
      </c>
    </row>
    <row r="463" spans="1:10" ht="33.950000000000003" customHeight="1">
      <c r="A463" s="6" t="s">
        <v>29</v>
      </c>
      <c r="B463" s="6" t="s">
        <v>29</v>
      </c>
      <c r="C463" s="7" t="str">
        <f>IF(A463="","",IFERROR(IF(VLOOKUP(B463,Bibliotheques!$A$10:$B$59,2,FALSE)=0,"Nom manquant",VLOOKUP(B463,Bibliotheques!$A$10:$B$59,2,FALSE)),"Clé inconnue"))</f>
        <v/>
      </c>
      <c r="D463" s="6" t="s">
        <v>29</v>
      </c>
      <c r="E463" s="7" t="str">
        <f t="shared" si="7"/>
        <v/>
      </c>
      <c r="F463" s="6" t="s">
        <v>29</v>
      </c>
      <c r="G463" s="6" t="s">
        <v>29</v>
      </c>
      <c r="H463" s="8" t="str">
        <f>IF(A463="","",Bibliotheques!$B$5&amp;IF(RIGHT(Bibliotheques!$B$5,1)="/","","/")&amp;SUBSTITUTE(A463," ","%20"))</f>
        <v/>
      </c>
      <c r="I463" s="6" t="s">
        <v>29</v>
      </c>
      <c r="J463" s="6" t="s">
        <v>29</v>
      </c>
    </row>
    <row r="464" spans="1:10" ht="33.950000000000003" customHeight="1">
      <c r="A464" s="6" t="s">
        <v>29</v>
      </c>
      <c r="B464" s="6" t="s">
        <v>29</v>
      </c>
      <c r="C464" s="7" t="str">
        <f>IF(A464="","",IFERROR(IF(VLOOKUP(B464,Bibliotheques!$A$10:$B$59,2,FALSE)=0,"Nom manquant",VLOOKUP(B464,Bibliotheques!$A$10:$B$59,2,FALSE)),"Clé inconnue"))</f>
        <v/>
      </c>
      <c r="D464" s="6" t="s">
        <v>29</v>
      </c>
      <c r="E464" s="7" t="str">
        <f t="shared" si="7"/>
        <v/>
      </c>
      <c r="F464" s="6" t="s">
        <v>29</v>
      </c>
      <c r="G464" s="6" t="s">
        <v>29</v>
      </c>
      <c r="H464" s="8" t="str">
        <f>IF(A464="","",Bibliotheques!$B$5&amp;IF(RIGHT(Bibliotheques!$B$5,1)="/","","/")&amp;SUBSTITUTE(A464," ","%20"))</f>
        <v/>
      </c>
      <c r="I464" s="6" t="s">
        <v>29</v>
      </c>
      <c r="J464" s="6" t="s">
        <v>29</v>
      </c>
    </row>
    <row r="465" spans="1:10" ht="33.950000000000003" customHeight="1">
      <c r="A465" s="6" t="s">
        <v>29</v>
      </c>
      <c r="B465" s="6" t="s">
        <v>29</v>
      </c>
      <c r="C465" s="7" t="str">
        <f>IF(A465="","",IFERROR(IF(VLOOKUP(B465,Bibliotheques!$A$10:$B$59,2,FALSE)=0,"Nom manquant",VLOOKUP(B465,Bibliotheques!$A$10:$B$59,2,FALSE)),"Clé inconnue"))</f>
        <v/>
      </c>
      <c r="D465" s="6" t="s">
        <v>29</v>
      </c>
      <c r="E465" s="7" t="str">
        <f t="shared" si="7"/>
        <v/>
      </c>
      <c r="F465" s="6" t="s">
        <v>29</v>
      </c>
      <c r="G465" s="6" t="s">
        <v>29</v>
      </c>
      <c r="H465" s="8" t="str">
        <f>IF(A465="","",Bibliotheques!$B$5&amp;IF(RIGHT(Bibliotheques!$B$5,1)="/","","/")&amp;SUBSTITUTE(A465," ","%20"))</f>
        <v/>
      </c>
      <c r="I465" s="6" t="s">
        <v>29</v>
      </c>
      <c r="J465" s="6" t="s">
        <v>29</v>
      </c>
    </row>
    <row r="466" spans="1:10" ht="33.950000000000003" customHeight="1">
      <c r="A466" s="6" t="s">
        <v>29</v>
      </c>
      <c r="B466" s="6" t="s">
        <v>29</v>
      </c>
      <c r="C466" s="7" t="str">
        <f>IF(A466="","",IFERROR(IF(VLOOKUP(B466,Bibliotheques!$A$10:$B$59,2,FALSE)=0,"Nom manquant",VLOOKUP(B466,Bibliotheques!$A$10:$B$59,2,FALSE)),"Clé inconnue"))</f>
        <v/>
      </c>
      <c r="D466" s="6" t="s">
        <v>29</v>
      </c>
      <c r="E466" s="7" t="str">
        <f t="shared" si="7"/>
        <v/>
      </c>
      <c r="F466" s="6" t="s">
        <v>29</v>
      </c>
      <c r="G466" s="6" t="s">
        <v>29</v>
      </c>
      <c r="H466" s="8" t="str">
        <f>IF(A466="","",Bibliotheques!$B$5&amp;IF(RIGHT(Bibliotheques!$B$5,1)="/","","/")&amp;SUBSTITUTE(A466," ","%20"))</f>
        <v/>
      </c>
      <c r="I466" s="6" t="s">
        <v>29</v>
      </c>
      <c r="J466" s="6" t="s">
        <v>29</v>
      </c>
    </row>
    <row r="467" spans="1:10" ht="33.950000000000003" customHeight="1">
      <c r="A467" s="6" t="s">
        <v>29</v>
      </c>
      <c r="B467" s="6" t="s">
        <v>29</v>
      </c>
      <c r="C467" s="7" t="str">
        <f>IF(A467="","",IFERROR(IF(VLOOKUP(B467,Bibliotheques!$A$10:$B$59,2,FALSE)=0,"Nom manquant",VLOOKUP(B467,Bibliotheques!$A$10:$B$59,2,FALSE)),"Clé inconnue"))</f>
        <v/>
      </c>
      <c r="D467" s="6" t="s">
        <v>29</v>
      </c>
      <c r="E467" s="7" t="str">
        <f t="shared" si="7"/>
        <v/>
      </c>
      <c r="F467" s="6" t="s">
        <v>29</v>
      </c>
      <c r="G467" s="6" t="s">
        <v>29</v>
      </c>
      <c r="H467" s="8" t="str">
        <f>IF(A467="","",Bibliotheques!$B$5&amp;IF(RIGHT(Bibliotheques!$B$5,1)="/","","/")&amp;SUBSTITUTE(A467," ","%20"))</f>
        <v/>
      </c>
      <c r="I467" s="6" t="s">
        <v>29</v>
      </c>
      <c r="J467" s="6" t="s">
        <v>29</v>
      </c>
    </row>
    <row r="468" spans="1:10" ht="33.950000000000003" customHeight="1">
      <c r="A468" s="6" t="s">
        <v>29</v>
      </c>
      <c r="B468" s="6" t="s">
        <v>29</v>
      </c>
      <c r="C468" s="7" t="str">
        <f>IF(A468="","",IFERROR(IF(VLOOKUP(B468,Bibliotheques!$A$10:$B$59,2,FALSE)=0,"Nom manquant",VLOOKUP(B468,Bibliotheques!$A$10:$B$59,2,FALSE)),"Clé inconnue"))</f>
        <v/>
      </c>
      <c r="D468" s="6" t="s">
        <v>29</v>
      </c>
      <c r="E468" s="7" t="str">
        <f t="shared" si="7"/>
        <v/>
      </c>
      <c r="F468" s="6" t="s">
        <v>29</v>
      </c>
      <c r="G468" s="6" t="s">
        <v>29</v>
      </c>
      <c r="H468" s="8" t="str">
        <f>IF(A468="","",Bibliotheques!$B$5&amp;IF(RIGHT(Bibliotheques!$B$5,1)="/","","/")&amp;SUBSTITUTE(A468," ","%20"))</f>
        <v/>
      </c>
      <c r="I468" s="6" t="s">
        <v>29</v>
      </c>
      <c r="J468" s="6" t="s">
        <v>29</v>
      </c>
    </row>
    <row r="469" spans="1:10" ht="33.950000000000003" customHeight="1">
      <c r="A469" s="6" t="s">
        <v>29</v>
      </c>
      <c r="B469" s="6" t="s">
        <v>29</v>
      </c>
      <c r="C469" s="7" t="str">
        <f>IF(A469="","",IFERROR(IF(VLOOKUP(B469,Bibliotheques!$A$10:$B$59,2,FALSE)=0,"Nom manquant",VLOOKUP(B469,Bibliotheques!$A$10:$B$59,2,FALSE)),"Clé inconnue"))</f>
        <v/>
      </c>
      <c r="D469" s="6" t="s">
        <v>29</v>
      </c>
      <c r="E469" s="7" t="str">
        <f t="shared" si="7"/>
        <v/>
      </c>
      <c r="F469" s="6" t="s">
        <v>29</v>
      </c>
      <c r="G469" s="6" t="s">
        <v>29</v>
      </c>
      <c r="H469" s="8" t="str">
        <f>IF(A469="","",Bibliotheques!$B$5&amp;IF(RIGHT(Bibliotheques!$B$5,1)="/","","/")&amp;SUBSTITUTE(A469," ","%20"))</f>
        <v/>
      </c>
      <c r="I469" s="6" t="s">
        <v>29</v>
      </c>
      <c r="J469" s="6" t="s">
        <v>29</v>
      </c>
    </row>
    <row r="470" spans="1:10" ht="33.950000000000003" customHeight="1">
      <c r="A470" s="6" t="s">
        <v>29</v>
      </c>
      <c r="B470" s="6" t="s">
        <v>29</v>
      </c>
      <c r="C470" s="7" t="str">
        <f>IF(A470="","",IFERROR(IF(VLOOKUP(B470,Bibliotheques!$A$10:$B$59,2,FALSE)=0,"Nom manquant",VLOOKUP(B470,Bibliotheques!$A$10:$B$59,2,FALSE)),"Clé inconnue"))</f>
        <v/>
      </c>
      <c r="D470" s="6" t="s">
        <v>29</v>
      </c>
      <c r="E470" s="7" t="str">
        <f t="shared" si="7"/>
        <v/>
      </c>
      <c r="F470" s="6" t="s">
        <v>29</v>
      </c>
      <c r="G470" s="6" t="s">
        <v>29</v>
      </c>
      <c r="H470" s="8" t="str">
        <f>IF(A470="","",Bibliotheques!$B$5&amp;IF(RIGHT(Bibliotheques!$B$5,1)="/","","/")&amp;SUBSTITUTE(A470," ","%20"))</f>
        <v/>
      </c>
      <c r="I470" s="6" t="s">
        <v>29</v>
      </c>
      <c r="J470" s="6" t="s">
        <v>29</v>
      </c>
    </row>
    <row r="471" spans="1:10" ht="33.950000000000003" customHeight="1">
      <c r="A471" s="6" t="s">
        <v>29</v>
      </c>
      <c r="B471" s="6" t="s">
        <v>29</v>
      </c>
      <c r="C471" s="7" t="str">
        <f>IF(A471="","",IFERROR(IF(VLOOKUP(B471,Bibliotheques!$A$10:$B$59,2,FALSE)=0,"Nom manquant",VLOOKUP(B471,Bibliotheques!$A$10:$B$59,2,FALSE)),"Clé inconnue"))</f>
        <v/>
      </c>
      <c r="D471" s="6" t="s">
        <v>29</v>
      </c>
      <c r="E471" s="7" t="str">
        <f t="shared" si="7"/>
        <v/>
      </c>
      <c r="F471" s="6" t="s">
        <v>29</v>
      </c>
      <c r="G471" s="6" t="s">
        <v>29</v>
      </c>
      <c r="H471" s="8" t="str">
        <f>IF(A471="","",Bibliotheques!$B$5&amp;IF(RIGHT(Bibliotheques!$B$5,1)="/","","/")&amp;SUBSTITUTE(A471," ","%20"))</f>
        <v/>
      </c>
      <c r="I471" s="6" t="s">
        <v>29</v>
      </c>
      <c r="J471" s="6" t="s">
        <v>29</v>
      </c>
    </row>
    <row r="472" spans="1:10" ht="33.950000000000003" customHeight="1">
      <c r="A472" s="6" t="s">
        <v>29</v>
      </c>
      <c r="B472" s="6" t="s">
        <v>29</v>
      </c>
      <c r="C472" s="7" t="str">
        <f>IF(A472="","",IFERROR(IF(VLOOKUP(B472,Bibliotheques!$A$10:$B$59,2,FALSE)=0,"Nom manquant",VLOOKUP(B472,Bibliotheques!$A$10:$B$59,2,FALSE)),"Clé inconnue"))</f>
        <v/>
      </c>
      <c r="D472" s="6" t="s">
        <v>29</v>
      </c>
      <c r="E472" s="7" t="str">
        <f t="shared" si="7"/>
        <v/>
      </c>
      <c r="F472" s="6" t="s">
        <v>29</v>
      </c>
      <c r="G472" s="6" t="s">
        <v>29</v>
      </c>
      <c r="H472" s="8" t="str">
        <f>IF(A472="","",Bibliotheques!$B$5&amp;IF(RIGHT(Bibliotheques!$B$5,1)="/","","/")&amp;SUBSTITUTE(A472," ","%20"))</f>
        <v/>
      </c>
      <c r="I472" s="6" t="s">
        <v>29</v>
      </c>
      <c r="J472" s="6" t="s">
        <v>29</v>
      </c>
    </row>
    <row r="473" spans="1:10" ht="33.950000000000003" customHeight="1">
      <c r="A473" s="6" t="s">
        <v>29</v>
      </c>
      <c r="B473" s="6" t="s">
        <v>29</v>
      </c>
      <c r="C473" s="7" t="str">
        <f>IF(A473="","",IFERROR(IF(VLOOKUP(B473,Bibliotheques!$A$10:$B$59,2,FALSE)=0,"Nom manquant",VLOOKUP(B473,Bibliotheques!$A$10:$B$59,2,FALSE)),"Clé inconnue"))</f>
        <v/>
      </c>
      <c r="D473" s="6" t="s">
        <v>29</v>
      </c>
      <c r="E473" s="7" t="str">
        <f t="shared" si="7"/>
        <v/>
      </c>
      <c r="F473" s="6" t="s">
        <v>29</v>
      </c>
      <c r="G473" s="6" t="s">
        <v>29</v>
      </c>
      <c r="H473" s="8" t="str">
        <f>IF(A473="","",Bibliotheques!$B$5&amp;IF(RIGHT(Bibliotheques!$B$5,1)="/","","/")&amp;SUBSTITUTE(A473," ","%20"))</f>
        <v/>
      </c>
      <c r="I473" s="6" t="s">
        <v>29</v>
      </c>
      <c r="J473" s="6" t="s">
        <v>29</v>
      </c>
    </row>
    <row r="474" spans="1:10" ht="33.950000000000003" customHeight="1">
      <c r="A474" s="6" t="s">
        <v>29</v>
      </c>
      <c r="B474" s="6" t="s">
        <v>29</v>
      </c>
      <c r="C474" s="7" t="str">
        <f>IF(A474="","",IFERROR(IF(VLOOKUP(B474,Bibliotheques!$A$10:$B$59,2,FALSE)=0,"Nom manquant",VLOOKUP(B474,Bibliotheques!$A$10:$B$59,2,FALSE)),"Clé inconnue"))</f>
        <v/>
      </c>
      <c r="D474" s="6" t="s">
        <v>29</v>
      </c>
      <c r="E474" s="7" t="str">
        <f t="shared" si="7"/>
        <v/>
      </c>
      <c r="F474" s="6" t="s">
        <v>29</v>
      </c>
      <c r="G474" s="6" t="s">
        <v>29</v>
      </c>
      <c r="H474" s="8" t="str">
        <f>IF(A474="","",Bibliotheques!$B$5&amp;IF(RIGHT(Bibliotheques!$B$5,1)="/","","/")&amp;SUBSTITUTE(A474," ","%20"))</f>
        <v/>
      </c>
      <c r="I474" s="6" t="s">
        <v>29</v>
      </c>
      <c r="J474" s="6" t="s">
        <v>29</v>
      </c>
    </row>
    <row r="475" spans="1:10" ht="33.950000000000003" customHeight="1">
      <c r="A475" s="6" t="s">
        <v>29</v>
      </c>
      <c r="B475" s="6" t="s">
        <v>29</v>
      </c>
      <c r="C475" s="7" t="str">
        <f>IF(A475="","",IFERROR(IF(VLOOKUP(B475,Bibliotheques!$A$10:$B$59,2,FALSE)=0,"Nom manquant",VLOOKUP(B475,Bibliotheques!$A$10:$B$59,2,FALSE)),"Clé inconnue"))</f>
        <v/>
      </c>
      <c r="D475" s="6" t="s">
        <v>29</v>
      </c>
      <c r="E475" s="7" t="str">
        <f t="shared" si="7"/>
        <v/>
      </c>
      <c r="F475" s="6" t="s">
        <v>29</v>
      </c>
      <c r="G475" s="6" t="s">
        <v>29</v>
      </c>
      <c r="H475" s="8" t="str">
        <f>IF(A475="","",Bibliotheques!$B$5&amp;IF(RIGHT(Bibliotheques!$B$5,1)="/","","/")&amp;SUBSTITUTE(A475," ","%20"))</f>
        <v/>
      </c>
      <c r="I475" s="6" t="s">
        <v>29</v>
      </c>
      <c r="J475" s="6" t="s">
        <v>29</v>
      </c>
    </row>
    <row r="476" spans="1:10" ht="33.950000000000003" customHeight="1">
      <c r="A476" s="6" t="s">
        <v>29</v>
      </c>
      <c r="B476" s="6" t="s">
        <v>29</v>
      </c>
      <c r="C476" s="7" t="str">
        <f>IF(A476="","",IFERROR(IF(VLOOKUP(B476,Bibliotheques!$A$10:$B$59,2,FALSE)=0,"Nom manquant",VLOOKUP(B476,Bibliotheques!$A$10:$B$59,2,FALSE)),"Clé inconnue"))</f>
        <v/>
      </c>
      <c r="D476" s="6" t="s">
        <v>29</v>
      </c>
      <c r="E476" s="7" t="str">
        <f t="shared" si="7"/>
        <v/>
      </c>
      <c r="F476" s="6" t="s">
        <v>29</v>
      </c>
      <c r="G476" s="6" t="s">
        <v>29</v>
      </c>
      <c r="H476" s="8" t="str">
        <f>IF(A476="","",Bibliotheques!$B$5&amp;IF(RIGHT(Bibliotheques!$B$5,1)="/","","/")&amp;SUBSTITUTE(A476," ","%20"))</f>
        <v/>
      </c>
      <c r="I476" s="6" t="s">
        <v>29</v>
      </c>
      <c r="J476" s="6" t="s">
        <v>29</v>
      </c>
    </row>
    <row r="477" spans="1:10" ht="33.950000000000003" customHeight="1">
      <c r="A477" s="6" t="s">
        <v>29</v>
      </c>
      <c r="B477" s="6" t="s">
        <v>29</v>
      </c>
      <c r="C477" s="7" t="str">
        <f>IF(A477="","",IFERROR(IF(VLOOKUP(B477,Bibliotheques!$A$10:$B$59,2,FALSE)=0,"Nom manquant",VLOOKUP(B477,Bibliotheques!$A$10:$B$59,2,FALSE)),"Clé inconnue"))</f>
        <v/>
      </c>
      <c r="D477" s="6" t="s">
        <v>29</v>
      </c>
      <c r="E477" s="7" t="str">
        <f t="shared" si="7"/>
        <v/>
      </c>
      <c r="F477" s="6" t="s">
        <v>29</v>
      </c>
      <c r="G477" s="6" t="s">
        <v>29</v>
      </c>
      <c r="H477" s="8" t="str">
        <f>IF(A477="","",Bibliotheques!$B$5&amp;IF(RIGHT(Bibliotheques!$B$5,1)="/","","/")&amp;SUBSTITUTE(A477," ","%20"))</f>
        <v/>
      </c>
      <c r="I477" s="6" t="s">
        <v>29</v>
      </c>
      <c r="J477" s="6" t="s">
        <v>29</v>
      </c>
    </row>
    <row r="478" spans="1:10" ht="33.950000000000003" customHeight="1">
      <c r="A478" s="6" t="s">
        <v>29</v>
      </c>
      <c r="B478" s="6" t="s">
        <v>29</v>
      </c>
      <c r="C478" s="7" t="str">
        <f>IF(A478="","",IFERROR(IF(VLOOKUP(B478,Bibliotheques!$A$10:$B$59,2,FALSE)=0,"Nom manquant",VLOOKUP(B478,Bibliotheques!$A$10:$B$59,2,FALSE)),"Clé inconnue"))</f>
        <v/>
      </c>
      <c r="D478" s="6" t="s">
        <v>29</v>
      </c>
      <c r="E478" s="7" t="str">
        <f t="shared" si="7"/>
        <v/>
      </c>
      <c r="F478" s="6" t="s">
        <v>29</v>
      </c>
      <c r="G478" s="6" t="s">
        <v>29</v>
      </c>
      <c r="H478" s="8" t="str">
        <f>IF(A478="","",Bibliotheques!$B$5&amp;IF(RIGHT(Bibliotheques!$B$5,1)="/","","/")&amp;SUBSTITUTE(A478," ","%20"))</f>
        <v/>
      </c>
      <c r="I478" s="6" t="s">
        <v>29</v>
      </c>
      <c r="J478" s="6" t="s">
        <v>29</v>
      </c>
    </row>
    <row r="479" spans="1:10" ht="33.950000000000003" customHeight="1">
      <c r="A479" s="6" t="s">
        <v>29</v>
      </c>
      <c r="B479" s="6" t="s">
        <v>29</v>
      </c>
      <c r="C479" s="7" t="str">
        <f>IF(A479="","",IFERROR(IF(VLOOKUP(B479,Bibliotheques!$A$10:$B$59,2,FALSE)=0,"Nom manquant",VLOOKUP(B479,Bibliotheques!$A$10:$B$59,2,FALSE)),"Clé inconnue"))</f>
        <v/>
      </c>
      <c r="D479" s="6" t="s">
        <v>29</v>
      </c>
      <c r="E479" s="7" t="str">
        <f t="shared" si="7"/>
        <v/>
      </c>
      <c r="F479" s="6" t="s">
        <v>29</v>
      </c>
      <c r="G479" s="6" t="s">
        <v>29</v>
      </c>
      <c r="H479" s="8" t="str">
        <f>IF(A479="","",Bibliotheques!$B$5&amp;IF(RIGHT(Bibliotheques!$B$5,1)="/","","/")&amp;SUBSTITUTE(A479," ","%20"))</f>
        <v/>
      </c>
      <c r="I479" s="6" t="s">
        <v>29</v>
      </c>
      <c r="J479" s="6" t="s">
        <v>29</v>
      </c>
    </row>
    <row r="480" spans="1:10" ht="33.950000000000003" customHeight="1">
      <c r="A480" s="6" t="s">
        <v>29</v>
      </c>
      <c r="B480" s="6" t="s">
        <v>29</v>
      </c>
      <c r="C480" s="7" t="str">
        <f>IF(A480="","",IFERROR(IF(VLOOKUP(B480,Bibliotheques!$A$10:$B$59,2,FALSE)=0,"Nom manquant",VLOOKUP(B480,Bibliotheques!$A$10:$B$59,2,FALSE)),"Clé inconnue"))</f>
        <v/>
      </c>
      <c r="D480" s="6" t="s">
        <v>29</v>
      </c>
      <c r="E480" s="7" t="str">
        <f t="shared" si="7"/>
        <v/>
      </c>
      <c r="F480" s="6" t="s">
        <v>29</v>
      </c>
      <c r="G480" s="6" t="s">
        <v>29</v>
      </c>
      <c r="H480" s="8" t="str">
        <f>IF(A480="","",Bibliotheques!$B$5&amp;IF(RIGHT(Bibliotheques!$B$5,1)="/","","/")&amp;SUBSTITUTE(A480," ","%20"))</f>
        <v/>
      </c>
      <c r="I480" s="6" t="s">
        <v>29</v>
      </c>
      <c r="J480" s="6" t="s">
        <v>29</v>
      </c>
    </row>
    <row r="481" spans="1:10" ht="33.950000000000003" customHeight="1">
      <c r="A481" s="6" t="s">
        <v>29</v>
      </c>
      <c r="B481" s="6" t="s">
        <v>29</v>
      </c>
      <c r="C481" s="7" t="str">
        <f>IF(A481="","",IFERROR(IF(VLOOKUP(B481,Bibliotheques!$A$10:$B$59,2,FALSE)=0,"Nom manquant",VLOOKUP(B481,Bibliotheques!$A$10:$B$59,2,FALSE)),"Clé inconnue"))</f>
        <v/>
      </c>
      <c r="D481" s="6" t="s">
        <v>29</v>
      </c>
      <c r="E481" s="7" t="str">
        <f t="shared" si="7"/>
        <v/>
      </c>
      <c r="F481" s="6" t="s">
        <v>29</v>
      </c>
      <c r="G481" s="6" t="s">
        <v>29</v>
      </c>
      <c r="H481" s="8" t="str">
        <f>IF(A481="","",Bibliotheques!$B$5&amp;IF(RIGHT(Bibliotheques!$B$5,1)="/","","/")&amp;SUBSTITUTE(A481," ","%20"))</f>
        <v/>
      </c>
      <c r="I481" s="6" t="s">
        <v>29</v>
      </c>
      <c r="J481" s="6" t="s">
        <v>29</v>
      </c>
    </row>
    <row r="482" spans="1:10" ht="33.950000000000003" customHeight="1">
      <c r="A482" s="6" t="s">
        <v>29</v>
      </c>
      <c r="B482" s="6" t="s">
        <v>29</v>
      </c>
      <c r="C482" s="7" t="str">
        <f>IF(A482="","",IFERROR(IF(VLOOKUP(B482,Bibliotheques!$A$10:$B$59,2,FALSE)=0,"Nom manquant",VLOOKUP(B482,Bibliotheques!$A$10:$B$59,2,FALSE)),"Clé inconnue"))</f>
        <v/>
      </c>
      <c r="D482" s="6" t="s">
        <v>29</v>
      </c>
      <c r="E482" s="7" t="str">
        <f t="shared" si="7"/>
        <v/>
      </c>
      <c r="F482" s="6" t="s">
        <v>29</v>
      </c>
      <c r="G482" s="6" t="s">
        <v>29</v>
      </c>
      <c r="H482" s="8" t="str">
        <f>IF(A482="","",Bibliotheques!$B$5&amp;IF(RIGHT(Bibliotheques!$B$5,1)="/","","/")&amp;SUBSTITUTE(A482," ","%20"))</f>
        <v/>
      </c>
      <c r="I482" s="6" t="s">
        <v>29</v>
      </c>
      <c r="J482" s="6" t="s">
        <v>29</v>
      </c>
    </row>
    <row r="483" spans="1:10" ht="33.950000000000003" customHeight="1">
      <c r="A483" s="6" t="s">
        <v>29</v>
      </c>
      <c r="B483" s="6" t="s">
        <v>29</v>
      </c>
      <c r="C483" s="7" t="str">
        <f>IF(A483="","",IFERROR(IF(VLOOKUP(B483,Bibliotheques!$A$10:$B$59,2,FALSE)=0,"Nom manquant",VLOOKUP(B483,Bibliotheques!$A$10:$B$59,2,FALSE)),"Clé inconnue"))</f>
        <v/>
      </c>
      <c r="D483" s="6" t="s">
        <v>29</v>
      </c>
      <c r="E483" s="7" t="str">
        <f t="shared" si="7"/>
        <v/>
      </c>
      <c r="F483" s="6" t="s">
        <v>29</v>
      </c>
      <c r="G483" s="6" t="s">
        <v>29</v>
      </c>
      <c r="H483" s="8" t="str">
        <f>IF(A483="","",Bibliotheques!$B$5&amp;IF(RIGHT(Bibliotheques!$B$5,1)="/","","/")&amp;SUBSTITUTE(A483," ","%20"))</f>
        <v/>
      </c>
      <c r="I483" s="6" t="s">
        <v>29</v>
      </c>
      <c r="J483" s="6" t="s">
        <v>29</v>
      </c>
    </row>
    <row r="484" spans="1:10" ht="33.950000000000003" customHeight="1">
      <c r="A484" s="6" t="s">
        <v>29</v>
      </c>
      <c r="B484" s="6" t="s">
        <v>29</v>
      </c>
      <c r="C484" s="7" t="str">
        <f>IF(A484="","",IFERROR(IF(VLOOKUP(B484,Bibliotheques!$A$10:$B$59,2,FALSE)=0,"Nom manquant",VLOOKUP(B484,Bibliotheques!$A$10:$B$59,2,FALSE)),"Clé inconnue"))</f>
        <v/>
      </c>
      <c r="D484" s="6" t="s">
        <v>29</v>
      </c>
      <c r="E484" s="7" t="str">
        <f t="shared" si="7"/>
        <v/>
      </c>
      <c r="F484" s="6" t="s">
        <v>29</v>
      </c>
      <c r="G484" s="6" t="s">
        <v>29</v>
      </c>
      <c r="H484" s="8" t="str">
        <f>IF(A484="","",Bibliotheques!$B$5&amp;IF(RIGHT(Bibliotheques!$B$5,1)="/","","/")&amp;SUBSTITUTE(A484," ","%20"))</f>
        <v/>
      </c>
      <c r="I484" s="6" t="s">
        <v>29</v>
      </c>
      <c r="J484" s="6" t="s">
        <v>29</v>
      </c>
    </row>
    <row r="485" spans="1:10" ht="33.950000000000003" customHeight="1">
      <c r="A485" s="6" t="s">
        <v>29</v>
      </c>
      <c r="B485" s="6" t="s">
        <v>29</v>
      </c>
      <c r="C485" s="7" t="str">
        <f>IF(A485="","",IFERROR(IF(VLOOKUP(B485,Bibliotheques!$A$10:$B$59,2,FALSE)=0,"Nom manquant",VLOOKUP(B485,Bibliotheques!$A$10:$B$59,2,FALSE)),"Clé inconnue"))</f>
        <v/>
      </c>
      <c r="D485" s="6" t="s">
        <v>29</v>
      </c>
      <c r="E485" s="7" t="str">
        <f t="shared" si="7"/>
        <v/>
      </c>
      <c r="F485" s="6" t="s">
        <v>29</v>
      </c>
      <c r="G485" s="6" t="s">
        <v>29</v>
      </c>
      <c r="H485" s="8" t="str">
        <f>IF(A485="","",Bibliotheques!$B$5&amp;IF(RIGHT(Bibliotheques!$B$5,1)="/","","/")&amp;SUBSTITUTE(A485," ","%20"))</f>
        <v/>
      </c>
      <c r="I485" s="6" t="s">
        <v>29</v>
      </c>
      <c r="J485" s="6" t="s">
        <v>29</v>
      </c>
    </row>
    <row r="486" spans="1:10" ht="33.950000000000003" customHeight="1">
      <c r="A486" s="6" t="s">
        <v>29</v>
      </c>
      <c r="B486" s="6" t="s">
        <v>29</v>
      </c>
      <c r="C486" s="7" t="str">
        <f>IF(A486="","",IFERROR(IF(VLOOKUP(B486,Bibliotheques!$A$10:$B$59,2,FALSE)=0,"Nom manquant",VLOOKUP(B486,Bibliotheques!$A$10:$B$59,2,FALSE)),"Clé inconnue"))</f>
        <v/>
      </c>
      <c r="D486" s="6" t="s">
        <v>29</v>
      </c>
      <c r="E486" s="7" t="str">
        <f t="shared" si="7"/>
        <v/>
      </c>
      <c r="F486" s="6" t="s">
        <v>29</v>
      </c>
      <c r="G486" s="6" t="s">
        <v>29</v>
      </c>
      <c r="H486" s="8" t="str">
        <f>IF(A486="","",Bibliotheques!$B$5&amp;IF(RIGHT(Bibliotheques!$B$5,1)="/","","/")&amp;SUBSTITUTE(A486," ","%20"))</f>
        <v/>
      </c>
      <c r="I486" s="6" t="s">
        <v>29</v>
      </c>
      <c r="J486" s="6" t="s">
        <v>29</v>
      </c>
    </row>
    <row r="487" spans="1:10" ht="33.950000000000003" customHeight="1">
      <c r="A487" s="6" t="s">
        <v>29</v>
      </c>
      <c r="B487" s="6" t="s">
        <v>29</v>
      </c>
      <c r="C487" s="7" t="str">
        <f>IF(A487="","",IFERROR(IF(VLOOKUP(B487,Bibliotheques!$A$10:$B$59,2,FALSE)=0,"Nom manquant",VLOOKUP(B487,Bibliotheques!$A$10:$B$59,2,FALSE)),"Clé inconnue"))</f>
        <v/>
      </c>
      <c r="D487" s="6" t="s">
        <v>29</v>
      </c>
      <c r="E487" s="7" t="str">
        <f t="shared" si="7"/>
        <v/>
      </c>
      <c r="F487" s="6" t="s">
        <v>29</v>
      </c>
      <c r="G487" s="6" t="s">
        <v>29</v>
      </c>
      <c r="H487" s="8" t="str">
        <f>IF(A487="","",Bibliotheques!$B$5&amp;IF(RIGHT(Bibliotheques!$B$5,1)="/","","/")&amp;SUBSTITUTE(A487," ","%20"))</f>
        <v/>
      </c>
      <c r="I487" s="6" t="s">
        <v>29</v>
      </c>
      <c r="J487" s="6" t="s">
        <v>29</v>
      </c>
    </row>
    <row r="488" spans="1:10" ht="33.950000000000003" customHeight="1">
      <c r="A488" s="6" t="s">
        <v>29</v>
      </c>
      <c r="B488" s="6" t="s">
        <v>29</v>
      </c>
      <c r="C488" s="7" t="str">
        <f>IF(A488="","",IFERROR(IF(VLOOKUP(B488,Bibliotheques!$A$10:$B$59,2,FALSE)=0,"Nom manquant",VLOOKUP(B488,Bibliotheques!$A$10:$B$59,2,FALSE)),"Clé inconnue"))</f>
        <v/>
      </c>
      <c r="D488" s="6" t="s">
        <v>29</v>
      </c>
      <c r="E488" s="7" t="str">
        <f t="shared" si="7"/>
        <v/>
      </c>
      <c r="F488" s="6" t="s">
        <v>29</v>
      </c>
      <c r="G488" s="6" t="s">
        <v>29</v>
      </c>
      <c r="H488" s="8" t="str">
        <f>IF(A488="","",Bibliotheques!$B$5&amp;IF(RIGHT(Bibliotheques!$B$5,1)="/","","/")&amp;SUBSTITUTE(A488," ","%20"))</f>
        <v/>
      </c>
      <c r="I488" s="6" t="s">
        <v>29</v>
      </c>
      <c r="J488" s="6" t="s">
        <v>29</v>
      </c>
    </row>
    <row r="489" spans="1:10" ht="33.950000000000003" customHeight="1">
      <c r="A489" s="6" t="s">
        <v>29</v>
      </c>
      <c r="B489" s="6" t="s">
        <v>29</v>
      </c>
      <c r="C489" s="7" t="str">
        <f>IF(A489="","",IFERROR(IF(VLOOKUP(B489,Bibliotheques!$A$10:$B$59,2,FALSE)=0,"Nom manquant",VLOOKUP(B489,Bibliotheques!$A$10:$B$59,2,FALSE)),"Clé inconnue"))</f>
        <v/>
      </c>
      <c r="D489" s="6" t="s">
        <v>29</v>
      </c>
      <c r="E489" s="7" t="str">
        <f t="shared" si="7"/>
        <v/>
      </c>
      <c r="F489" s="6" t="s">
        <v>29</v>
      </c>
      <c r="G489" s="6" t="s">
        <v>29</v>
      </c>
      <c r="H489" s="8" t="str">
        <f>IF(A489="","",Bibliotheques!$B$5&amp;IF(RIGHT(Bibliotheques!$B$5,1)="/","","/")&amp;SUBSTITUTE(A489," ","%20"))</f>
        <v/>
      </c>
      <c r="I489" s="6" t="s">
        <v>29</v>
      </c>
      <c r="J489" s="6" t="s">
        <v>29</v>
      </c>
    </row>
    <row r="490" spans="1:10" ht="33.950000000000003" customHeight="1">
      <c r="A490" s="6" t="s">
        <v>29</v>
      </c>
      <c r="B490" s="6" t="s">
        <v>29</v>
      </c>
      <c r="C490" s="7" t="str">
        <f>IF(A490="","",IFERROR(IF(VLOOKUP(B490,Bibliotheques!$A$10:$B$59,2,FALSE)=0,"Nom manquant",VLOOKUP(B490,Bibliotheques!$A$10:$B$59,2,FALSE)),"Clé inconnue"))</f>
        <v/>
      </c>
      <c r="D490" s="6" t="s">
        <v>29</v>
      </c>
      <c r="E490" s="7" t="str">
        <f t="shared" si="7"/>
        <v/>
      </c>
      <c r="F490" s="6" t="s">
        <v>29</v>
      </c>
      <c r="G490" s="6" t="s">
        <v>29</v>
      </c>
      <c r="H490" s="8" t="str">
        <f>IF(A490="","",Bibliotheques!$B$5&amp;IF(RIGHT(Bibliotheques!$B$5,1)="/","","/")&amp;SUBSTITUTE(A490," ","%20"))</f>
        <v/>
      </c>
      <c r="I490" s="6" t="s">
        <v>29</v>
      </c>
      <c r="J490" s="6" t="s">
        <v>29</v>
      </c>
    </row>
    <row r="491" spans="1:10" ht="33.950000000000003" customHeight="1">
      <c r="A491" s="6" t="s">
        <v>29</v>
      </c>
      <c r="B491" s="6" t="s">
        <v>29</v>
      </c>
      <c r="C491" s="7" t="str">
        <f>IF(A491="","",IFERROR(IF(VLOOKUP(B491,Bibliotheques!$A$10:$B$59,2,FALSE)=0,"Nom manquant",VLOOKUP(B491,Bibliotheques!$A$10:$B$59,2,FALSE)),"Clé inconnue"))</f>
        <v/>
      </c>
      <c r="D491" s="6" t="s">
        <v>29</v>
      </c>
      <c r="E491" s="7" t="str">
        <f t="shared" si="7"/>
        <v/>
      </c>
      <c r="F491" s="6" t="s">
        <v>29</v>
      </c>
      <c r="G491" s="6" t="s">
        <v>29</v>
      </c>
      <c r="H491" s="8" t="str">
        <f>IF(A491="","",Bibliotheques!$B$5&amp;IF(RIGHT(Bibliotheques!$B$5,1)="/","","/")&amp;SUBSTITUTE(A491," ","%20"))</f>
        <v/>
      </c>
      <c r="I491" s="6" t="s">
        <v>29</v>
      </c>
      <c r="J491" s="6" t="s">
        <v>29</v>
      </c>
    </row>
    <row r="492" spans="1:10" ht="33.950000000000003" customHeight="1">
      <c r="A492" s="6" t="s">
        <v>29</v>
      </c>
      <c r="B492" s="6" t="s">
        <v>29</v>
      </c>
      <c r="C492" s="7" t="str">
        <f>IF(A492="","",IFERROR(IF(VLOOKUP(B492,Bibliotheques!$A$10:$B$59,2,FALSE)=0,"Nom manquant",VLOOKUP(B492,Bibliotheques!$A$10:$B$59,2,FALSE)),"Clé inconnue"))</f>
        <v/>
      </c>
      <c r="D492" s="6" t="s">
        <v>29</v>
      </c>
      <c r="E492" s="7" t="str">
        <f t="shared" si="7"/>
        <v/>
      </c>
      <c r="F492" s="6" t="s">
        <v>29</v>
      </c>
      <c r="G492" s="6" t="s">
        <v>29</v>
      </c>
      <c r="H492" s="8" t="str">
        <f>IF(A492="","",Bibliotheques!$B$5&amp;IF(RIGHT(Bibliotheques!$B$5,1)="/","","/")&amp;SUBSTITUTE(A492," ","%20"))</f>
        <v/>
      </c>
      <c r="I492" s="6" t="s">
        <v>29</v>
      </c>
      <c r="J492" s="6" t="s">
        <v>29</v>
      </c>
    </row>
    <row r="493" spans="1:10" ht="33.950000000000003" customHeight="1">
      <c r="A493" s="6" t="s">
        <v>29</v>
      </c>
      <c r="B493" s="6" t="s">
        <v>29</v>
      </c>
      <c r="C493" s="7" t="str">
        <f>IF(A493="","",IFERROR(IF(VLOOKUP(B493,Bibliotheques!$A$10:$B$59,2,FALSE)=0,"Nom manquant",VLOOKUP(B493,Bibliotheques!$A$10:$B$59,2,FALSE)),"Clé inconnue"))</f>
        <v/>
      </c>
      <c r="D493" s="6" t="s">
        <v>29</v>
      </c>
      <c r="E493" s="7" t="str">
        <f t="shared" si="7"/>
        <v/>
      </c>
      <c r="F493" s="6" t="s">
        <v>29</v>
      </c>
      <c r="G493" s="6" t="s">
        <v>29</v>
      </c>
      <c r="H493" s="8" t="str">
        <f>IF(A493="","",Bibliotheques!$B$5&amp;IF(RIGHT(Bibliotheques!$B$5,1)="/","","/")&amp;SUBSTITUTE(A493," ","%20"))</f>
        <v/>
      </c>
      <c r="I493" s="6" t="s">
        <v>29</v>
      </c>
      <c r="J493" s="6" t="s">
        <v>29</v>
      </c>
    </row>
    <row r="494" spans="1:10" ht="33.950000000000003" customHeight="1">
      <c r="A494" s="6" t="s">
        <v>29</v>
      </c>
      <c r="B494" s="6" t="s">
        <v>29</v>
      </c>
      <c r="C494" s="7" t="str">
        <f>IF(A494="","",IFERROR(IF(VLOOKUP(B494,Bibliotheques!$A$10:$B$59,2,FALSE)=0,"Nom manquant",VLOOKUP(B494,Bibliotheques!$A$10:$B$59,2,FALSE)),"Clé inconnue"))</f>
        <v/>
      </c>
      <c r="D494" s="6" t="s">
        <v>29</v>
      </c>
      <c r="E494" s="7" t="str">
        <f t="shared" si="7"/>
        <v/>
      </c>
      <c r="F494" s="6" t="s">
        <v>29</v>
      </c>
      <c r="G494" s="6" t="s">
        <v>29</v>
      </c>
      <c r="H494" s="8" t="str">
        <f>IF(A494="","",Bibliotheques!$B$5&amp;IF(RIGHT(Bibliotheques!$B$5,1)="/","","/")&amp;SUBSTITUTE(A494," ","%20"))</f>
        <v/>
      </c>
      <c r="I494" s="6" t="s">
        <v>29</v>
      </c>
      <c r="J494" s="6" t="s">
        <v>29</v>
      </c>
    </row>
    <row r="495" spans="1:10" ht="33.950000000000003" customHeight="1">
      <c r="A495" s="6" t="s">
        <v>29</v>
      </c>
      <c r="B495" s="6" t="s">
        <v>29</v>
      </c>
      <c r="C495" s="7" t="str">
        <f>IF(A495="","",IFERROR(IF(VLOOKUP(B495,Bibliotheques!$A$10:$B$59,2,FALSE)=0,"Nom manquant",VLOOKUP(B495,Bibliotheques!$A$10:$B$59,2,FALSE)),"Clé inconnue"))</f>
        <v/>
      </c>
      <c r="D495" s="6" t="s">
        <v>29</v>
      </c>
      <c r="E495" s="7" t="str">
        <f t="shared" si="7"/>
        <v/>
      </c>
      <c r="F495" s="6" t="s">
        <v>29</v>
      </c>
      <c r="G495" s="6" t="s">
        <v>29</v>
      </c>
      <c r="H495" s="8" t="str">
        <f>IF(A495="","",Bibliotheques!$B$5&amp;IF(RIGHT(Bibliotheques!$B$5,1)="/","","/")&amp;SUBSTITUTE(A495," ","%20"))</f>
        <v/>
      </c>
      <c r="I495" s="6" t="s">
        <v>29</v>
      </c>
      <c r="J495" s="6" t="s">
        <v>29</v>
      </c>
    </row>
    <row r="496" spans="1:10" ht="33.950000000000003" customHeight="1">
      <c r="A496" s="6" t="s">
        <v>29</v>
      </c>
      <c r="B496" s="6" t="s">
        <v>29</v>
      </c>
      <c r="C496" s="7" t="str">
        <f>IF(A496="","",IFERROR(IF(VLOOKUP(B496,Bibliotheques!$A$10:$B$59,2,FALSE)=0,"Nom manquant",VLOOKUP(B496,Bibliotheques!$A$10:$B$59,2,FALSE)),"Clé inconnue"))</f>
        <v/>
      </c>
      <c r="D496" s="6" t="s">
        <v>29</v>
      </c>
      <c r="E496" s="7" t="str">
        <f t="shared" si="7"/>
        <v/>
      </c>
      <c r="F496" s="6" t="s">
        <v>29</v>
      </c>
      <c r="G496" s="6" t="s">
        <v>29</v>
      </c>
      <c r="H496" s="8" t="str">
        <f>IF(A496="","",Bibliotheques!$B$5&amp;IF(RIGHT(Bibliotheques!$B$5,1)="/","","/")&amp;SUBSTITUTE(A496," ","%20"))</f>
        <v/>
      </c>
      <c r="I496" s="6" t="s">
        <v>29</v>
      </c>
      <c r="J496" s="6" t="s">
        <v>29</v>
      </c>
    </row>
    <row r="497" spans="1:10" ht="33.950000000000003" customHeight="1">
      <c r="A497" s="6" t="s">
        <v>29</v>
      </c>
      <c r="B497" s="6" t="s">
        <v>29</v>
      </c>
      <c r="C497" s="7" t="str">
        <f>IF(A497="","",IFERROR(IF(VLOOKUP(B497,Bibliotheques!$A$10:$B$59,2,FALSE)=0,"Nom manquant",VLOOKUP(B497,Bibliotheques!$A$10:$B$59,2,FALSE)),"Clé inconnue"))</f>
        <v/>
      </c>
      <c r="D497" s="6" t="s">
        <v>29</v>
      </c>
      <c r="E497" s="7" t="str">
        <f t="shared" si="7"/>
        <v/>
      </c>
      <c r="F497" s="6" t="s">
        <v>29</v>
      </c>
      <c r="G497" s="6" t="s">
        <v>29</v>
      </c>
      <c r="H497" s="8" t="str">
        <f>IF(A497="","",Bibliotheques!$B$5&amp;IF(RIGHT(Bibliotheques!$B$5,1)="/","","/")&amp;SUBSTITUTE(A497," ","%20"))</f>
        <v/>
      </c>
      <c r="I497" s="6" t="s">
        <v>29</v>
      </c>
      <c r="J497" s="6" t="s">
        <v>29</v>
      </c>
    </row>
    <row r="498" spans="1:10" ht="33.950000000000003" customHeight="1">
      <c r="A498" s="6" t="s">
        <v>29</v>
      </c>
      <c r="B498" s="6" t="s">
        <v>29</v>
      </c>
      <c r="C498" s="7" t="str">
        <f>IF(A498="","",IFERROR(IF(VLOOKUP(B498,Bibliotheques!$A$10:$B$59,2,FALSE)=0,"Nom manquant",VLOOKUP(B498,Bibliotheques!$A$10:$B$59,2,FALSE)),"Clé inconnue"))</f>
        <v/>
      </c>
      <c r="D498" s="6" t="s">
        <v>29</v>
      </c>
      <c r="E498" s="7" t="str">
        <f t="shared" si="7"/>
        <v/>
      </c>
      <c r="F498" s="6" t="s">
        <v>29</v>
      </c>
      <c r="G498" s="6" t="s">
        <v>29</v>
      </c>
      <c r="H498" s="8" t="str">
        <f>IF(A498="","",Bibliotheques!$B$5&amp;IF(RIGHT(Bibliotheques!$B$5,1)="/","","/")&amp;SUBSTITUTE(A498," ","%20"))</f>
        <v/>
      </c>
      <c r="I498" s="6" t="s">
        <v>29</v>
      </c>
      <c r="J498" s="6" t="s">
        <v>29</v>
      </c>
    </row>
    <row r="499" spans="1:10" ht="33.950000000000003" customHeight="1">
      <c r="A499" s="6" t="s">
        <v>29</v>
      </c>
      <c r="B499" s="6" t="s">
        <v>29</v>
      </c>
      <c r="C499" s="7" t="str">
        <f>IF(A499="","",IFERROR(IF(VLOOKUP(B499,Bibliotheques!$A$10:$B$59,2,FALSE)=0,"Nom manquant",VLOOKUP(B499,Bibliotheques!$A$10:$B$59,2,FALSE)),"Clé inconnue"))</f>
        <v/>
      </c>
      <c r="D499" s="6" t="s">
        <v>29</v>
      </c>
      <c r="E499" s="7" t="str">
        <f t="shared" si="7"/>
        <v/>
      </c>
      <c r="F499" s="6" t="s">
        <v>29</v>
      </c>
      <c r="G499" s="6" t="s">
        <v>29</v>
      </c>
      <c r="H499" s="8" t="str">
        <f>IF(A499="","",Bibliotheques!$B$5&amp;IF(RIGHT(Bibliotheques!$B$5,1)="/","","/")&amp;SUBSTITUTE(A499," ","%20"))</f>
        <v/>
      </c>
      <c r="I499" s="6" t="s">
        <v>29</v>
      </c>
      <c r="J499" s="6" t="s">
        <v>29</v>
      </c>
    </row>
    <row r="500" spans="1:10" ht="33.950000000000003" customHeight="1">
      <c r="A500" s="6" t="s">
        <v>29</v>
      </c>
      <c r="B500" s="6" t="s">
        <v>29</v>
      </c>
      <c r="C500" s="7" t="str">
        <f>IF(A500="","",IFERROR(IF(VLOOKUP(B500,Bibliotheques!$A$10:$B$59,2,FALSE)=0,"Nom manquant",VLOOKUP(B500,Bibliotheques!$A$10:$B$59,2,FALSE)),"Clé inconnue"))</f>
        <v/>
      </c>
      <c r="D500" s="6" t="s">
        <v>29</v>
      </c>
      <c r="E500" s="7" t="str">
        <f t="shared" si="7"/>
        <v/>
      </c>
      <c r="F500" s="6" t="s">
        <v>29</v>
      </c>
      <c r="G500" s="6" t="s">
        <v>29</v>
      </c>
      <c r="H500" s="8" t="str">
        <f>IF(A500="","",Bibliotheques!$B$5&amp;IF(RIGHT(Bibliotheques!$B$5,1)="/","","/")&amp;SUBSTITUTE(A500," ","%20"))</f>
        <v/>
      </c>
      <c r="I500" s="6" t="s">
        <v>29</v>
      </c>
      <c r="J500" s="6" t="s">
        <v>29</v>
      </c>
    </row>
    <row r="501" spans="1:10" ht="33.950000000000003" customHeight="1">
      <c r="A501" s="6" t="s">
        <v>29</v>
      </c>
      <c r="B501" s="6" t="s">
        <v>29</v>
      </c>
      <c r="C501" s="7" t="str">
        <f>IF(A501="","",IFERROR(IF(VLOOKUP(B501,Bibliotheques!$A$10:$B$59,2,FALSE)=0,"Nom manquant",VLOOKUP(B501,Bibliotheques!$A$10:$B$59,2,FALSE)),"Clé inconnue"))</f>
        <v/>
      </c>
      <c r="D501" s="6" t="s">
        <v>29</v>
      </c>
      <c r="E501" s="7" t="str">
        <f t="shared" si="7"/>
        <v/>
      </c>
      <c r="F501" s="6" t="s">
        <v>29</v>
      </c>
      <c r="G501" s="6" t="s">
        <v>29</v>
      </c>
      <c r="H501" s="8" t="str">
        <f>IF(A501="","",Bibliotheques!$B$5&amp;IF(RIGHT(Bibliotheques!$B$5,1)="/","","/")&amp;SUBSTITUTE(A501," ","%20"))</f>
        <v/>
      </c>
      <c r="I501" s="6" t="s">
        <v>29</v>
      </c>
      <c r="J501" s="6" t="s">
        <v>29</v>
      </c>
    </row>
    <row r="502" spans="1:10" ht="33.950000000000003" customHeight="1">
      <c r="A502" s="6" t="s">
        <v>29</v>
      </c>
      <c r="B502" s="6" t="s">
        <v>29</v>
      </c>
      <c r="C502" s="7" t="str">
        <f>IF(A502="","",IFERROR(IF(VLOOKUP(B502,Bibliotheques!$A$10:$B$59,2,FALSE)=0,"Nom manquant",VLOOKUP(B502,Bibliotheques!$A$10:$B$59,2,FALSE)),"Clé inconnue"))</f>
        <v/>
      </c>
      <c r="D502" s="6" t="s">
        <v>29</v>
      </c>
      <c r="E502" s="7" t="str">
        <f t="shared" si="7"/>
        <v/>
      </c>
      <c r="F502" s="6" t="s">
        <v>29</v>
      </c>
      <c r="G502" s="6" t="s">
        <v>29</v>
      </c>
      <c r="H502" s="8" t="str">
        <f>IF(A502="","",Bibliotheques!$B$5&amp;IF(RIGHT(Bibliotheques!$B$5,1)="/","","/")&amp;SUBSTITUTE(A502," ","%20"))</f>
        <v/>
      </c>
      <c r="I502" s="6" t="s">
        <v>29</v>
      </c>
      <c r="J502" s="6" t="s">
        <v>29</v>
      </c>
    </row>
    <row r="503" spans="1:10" ht="33.950000000000003" customHeight="1">
      <c r="A503" s="6" t="s">
        <v>29</v>
      </c>
      <c r="B503" s="6" t="s">
        <v>29</v>
      </c>
      <c r="C503" s="7" t="str">
        <f>IF(A503="","",IFERROR(IF(VLOOKUP(B503,Bibliotheques!$A$10:$B$59,2,FALSE)=0,"Nom manquant",VLOOKUP(B503,Bibliotheques!$A$10:$B$59,2,FALSE)),"Clé inconnue"))</f>
        <v/>
      </c>
      <c r="D503" s="6" t="s">
        <v>29</v>
      </c>
      <c r="E503" s="7" t="str">
        <f t="shared" si="7"/>
        <v/>
      </c>
      <c r="F503" s="6" t="s">
        <v>29</v>
      </c>
      <c r="G503" s="6" t="s">
        <v>29</v>
      </c>
      <c r="H503" s="8" t="str">
        <f>IF(A503="","",Bibliotheques!$B$5&amp;IF(RIGHT(Bibliotheques!$B$5,1)="/","","/")&amp;SUBSTITUTE(A503," ","%20"))</f>
        <v/>
      </c>
      <c r="I503" s="6" t="s">
        <v>29</v>
      </c>
      <c r="J503" s="6" t="s">
        <v>29</v>
      </c>
    </row>
    <row r="504" spans="1:10" ht="33.950000000000003" customHeight="1">
      <c r="A504" s="6" t="s">
        <v>29</v>
      </c>
      <c r="B504" s="6" t="s">
        <v>29</v>
      </c>
      <c r="C504" s="7" t="str">
        <f>IF(A504="","",IFERROR(IF(VLOOKUP(B504,Bibliotheques!$A$10:$B$59,2,FALSE)=0,"Nom manquant",VLOOKUP(B504,Bibliotheques!$A$10:$B$59,2,FALSE)),"Clé inconnue"))</f>
        <v/>
      </c>
      <c r="D504" s="6" t="s">
        <v>29</v>
      </c>
      <c r="E504" s="7" t="str">
        <f t="shared" si="7"/>
        <v/>
      </c>
      <c r="F504" s="6" t="s">
        <v>29</v>
      </c>
      <c r="G504" s="6" t="s">
        <v>29</v>
      </c>
      <c r="H504" s="8" t="str">
        <f>IF(A504="","",Bibliotheques!$B$5&amp;IF(RIGHT(Bibliotheques!$B$5,1)="/","","/")&amp;SUBSTITUTE(A504," ","%20"))</f>
        <v/>
      </c>
      <c r="I504" s="6" t="s">
        <v>29</v>
      </c>
      <c r="J504" s="6" t="s">
        <v>29</v>
      </c>
    </row>
    <row r="505" spans="1:10" ht="33.950000000000003" customHeight="1">
      <c r="A505" s="6" t="s">
        <v>29</v>
      </c>
      <c r="B505" s="6" t="s">
        <v>29</v>
      </c>
      <c r="C505" s="7" t="str">
        <f>IF(A505="","",IFERROR(IF(VLOOKUP(B505,Bibliotheques!$A$10:$B$59,2,FALSE)=0,"Nom manquant",VLOOKUP(B505,Bibliotheques!$A$10:$B$59,2,FALSE)),"Clé inconnue"))</f>
        <v/>
      </c>
      <c r="D505" s="6" t="s">
        <v>29</v>
      </c>
      <c r="E505" s="7" t="str">
        <f t="shared" si="7"/>
        <v/>
      </c>
      <c r="F505" s="6" t="s">
        <v>29</v>
      </c>
      <c r="G505" s="6" t="s">
        <v>29</v>
      </c>
      <c r="H505" s="8" t="str">
        <f>IF(A505="","",Bibliotheques!$B$5&amp;IF(RIGHT(Bibliotheques!$B$5,1)="/","","/")&amp;SUBSTITUTE(A505," ","%20"))</f>
        <v/>
      </c>
      <c r="I505" s="6" t="s">
        <v>29</v>
      </c>
      <c r="J505" s="6" t="s">
        <v>29</v>
      </c>
    </row>
    <row r="506" spans="1:10" ht="33.950000000000003" customHeight="1">
      <c r="A506" s="6" t="s">
        <v>29</v>
      </c>
      <c r="B506" s="6" t="s">
        <v>29</v>
      </c>
      <c r="C506" s="7" t="str">
        <f>IF(A506="","",IFERROR(IF(VLOOKUP(B506,Bibliotheques!$A$10:$B$59,2,FALSE)=0,"Nom manquant",VLOOKUP(B506,Bibliotheques!$A$10:$B$59,2,FALSE)),"Clé inconnue"))</f>
        <v/>
      </c>
      <c r="D506" s="6" t="s">
        <v>29</v>
      </c>
      <c r="E506" s="7" t="str">
        <f t="shared" si="7"/>
        <v/>
      </c>
      <c r="F506" s="6" t="s">
        <v>29</v>
      </c>
      <c r="G506" s="6" t="s">
        <v>29</v>
      </c>
      <c r="H506" s="8" t="str">
        <f>IF(A506="","",Bibliotheques!$B$5&amp;IF(RIGHT(Bibliotheques!$B$5,1)="/","","/")&amp;SUBSTITUTE(A506," ","%20"))</f>
        <v/>
      </c>
      <c r="I506" s="6" t="s">
        <v>29</v>
      </c>
      <c r="J506" s="6" t="s">
        <v>29</v>
      </c>
    </row>
    <row r="507" spans="1:10" ht="33.950000000000003" customHeight="1">
      <c r="A507" s="6" t="s">
        <v>29</v>
      </c>
      <c r="B507" s="6" t="s">
        <v>29</v>
      </c>
      <c r="C507" s="7" t="str">
        <f>IF(A507="","",IFERROR(IF(VLOOKUP(B507,Bibliotheques!$A$10:$B$59,2,FALSE)=0,"Nom manquant",VLOOKUP(B507,Bibliotheques!$A$10:$B$59,2,FALSE)),"Clé inconnue"))</f>
        <v/>
      </c>
      <c r="D507" s="6" t="s">
        <v>29</v>
      </c>
      <c r="E507" s="7" t="str">
        <f t="shared" si="7"/>
        <v/>
      </c>
      <c r="F507" s="6" t="s">
        <v>29</v>
      </c>
      <c r="G507" s="6" t="s">
        <v>29</v>
      </c>
      <c r="H507" s="8" t="str">
        <f>IF(A507="","",Bibliotheques!$B$5&amp;IF(RIGHT(Bibliotheques!$B$5,1)="/","","/")&amp;SUBSTITUTE(A507," ","%20"))</f>
        <v/>
      </c>
      <c r="I507" s="6" t="s">
        <v>29</v>
      </c>
      <c r="J507" s="6" t="s">
        <v>29</v>
      </c>
    </row>
    <row r="508" spans="1:10" ht="33.950000000000003" customHeight="1">
      <c r="A508" s="6" t="s">
        <v>29</v>
      </c>
      <c r="B508" s="6" t="s">
        <v>29</v>
      </c>
      <c r="C508" s="7" t="str">
        <f>IF(A508="","",IFERROR(IF(VLOOKUP(B508,Bibliotheques!$A$10:$B$59,2,FALSE)=0,"Nom manquant",VLOOKUP(B508,Bibliotheques!$A$10:$B$59,2,FALSE)),"Clé inconnue"))</f>
        <v/>
      </c>
      <c r="D508" s="6" t="s">
        <v>29</v>
      </c>
      <c r="E508" s="7" t="str">
        <f t="shared" si="7"/>
        <v/>
      </c>
      <c r="F508" s="6" t="s">
        <v>29</v>
      </c>
      <c r="G508" s="6" t="s">
        <v>29</v>
      </c>
      <c r="H508" s="8" t="str">
        <f>IF(A508="","",Bibliotheques!$B$5&amp;IF(RIGHT(Bibliotheques!$B$5,1)="/","","/")&amp;SUBSTITUTE(A508," ","%20"))</f>
        <v/>
      </c>
      <c r="I508" s="6" t="s">
        <v>29</v>
      </c>
      <c r="J508" s="6" t="s">
        <v>29</v>
      </c>
    </row>
    <row r="509" spans="1:10" ht="33.950000000000003" customHeight="1">
      <c r="A509" s="6" t="s">
        <v>29</v>
      </c>
      <c r="B509" s="6" t="s">
        <v>29</v>
      </c>
      <c r="C509" s="7" t="str">
        <f>IF(A509="","",IFERROR(IF(VLOOKUP(B509,Bibliotheques!$A$10:$B$59,2,FALSE)=0,"Nom manquant",VLOOKUP(B509,Bibliotheques!$A$10:$B$59,2,FALSE)),"Clé inconnue"))</f>
        <v/>
      </c>
      <c r="D509" s="6" t="s">
        <v>29</v>
      </c>
      <c r="E509" s="7" t="str">
        <f t="shared" si="7"/>
        <v/>
      </c>
      <c r="F509" s="6" t="s">
        <v>29</v>
      </c>
      <c r="G509" s="6" t="s">
        <v>29</v>
      </c>
      <c r="H509" s="8" t="str">
        <f>IF(A509="","",Bibliotheques!$B$5&amp;IF(RIGHT(Bibliotheques!$B$5,1)="/","","/")&amp;SUBSTITUTE(A509," ","%20"))</f>
        <v/>
      </c>
      <c r="I509" s="6" t="s">
        <v>29</v>
      </c>
      <c r="J509" s="6" t="s">
        <v>29</v>
      </c>
    </row>
    <row r="510" spans="1:10" ht="33.950000000000003" customHeight="1">
      <c r="A510" s="6" t="s">
        <v>29</v>
      </c>
      <c r="B510" s="6" t="s">
        <v>29</v>
      </c>
      <c r="C510" s="7" t="str">
        <f>IF(A510="","",IFERROR(IF(VLOOKUP(B510,Bibliotheques!$A$10:$B$59,2,FALSE)=0,"Nom manquant",VLOOKUP(B510,Bibliotheques!$A$10:$B$59,2,FALSE)),"Clé inconnue"))</f>
        <v/>
      </c>
      <c r="D510" s="6" t="s">
        <v>29</v>
      </c>
      <c r="E510" s="7" t="str">
        <f t="shared" si="7"/>
        <v/>
      </c>
      <c r="F510" s="6" t="s">
        <v>29</v>
      </c>
      <c r="G510" s="6" t="s">
        <v>29</v>
      </c>
      <c r="H510" s="8" t="str">
        <f>IF(A510="","",Bibliotheques!$B$5&amp;IF(RIGHT(Bibliotheques!$B$5,1)="/","","/")&amp;SUBSTITUTE(A510," ","%20"))</f>
        <v/>
      </c>
      <c r="I510" s="6" t="s">
        <v>29</v>
      </c>
      <c r="J510" s="6" t="s">
        <v>29</v>
      </c>
    </row>
    <row r="511" spans="1:10" ht="33.950000000000003" customHeight="1">
      <c r="A511" s="6" t="s">
        <v>29</v>
      </c>
      <c r="B511" s="6" t="s">
        <v>29</v>
      </c>
      <c r="C511" s="7" t="str">
        <f>IF(A511="","",IFERROR(IF(VLOOKUP(B511,Bibliotheques!$A$10:$B$59,2,FALSE)=0,"Nom manquant",VLOOKUP(B511,Bibliotheques!$A$10:$B$59,2,FALSE)),"Clé inconnue"))</f>
        <v/>
      </c>
      <c r="D511" s="6" t="s">
        <v>29</v>
      </c>
      <c r="E511" s="7" t="str">
        <f t="shared" si="7"/>
        <v/>
      </c>
      <c r="F511" s="6" t="s">
        <v>29</v>
      </c>
      <c r="G511" s="6" t="s">
        <v>29</v>
      </c>
      <c r="H511" s="8" t="str">
        <f>IF(A511="","",Bibliotheques!$B$5&amp;IF(RIGHT(Bibliotheques!$B$5,1)="/","","/")&amp;SUBSTITUTE(A511," ","%20"))</f>
        <v/>
      </c>
      <c r="I511" s="6" t="s">
        <v>29</v>
      </c>
      <c r="J511" s="6" t="s">
        <v>29</v>
      </c>
    </row>
    <row r="512" spans="1:10" ht="33.950000000000003" customHeight="1">
      <c r="A512" s="6" t="s">
        <v>29</v>
      </c>
      <c r="B512" s="6" t="s">
        <v>29</v>
      </c>
      <c r="C512" s="7" t="str">
        <f>IF(A512="","",IFERROR(IF(VLOOKUP(B512,Bibliotheques!$A$10:$B$59,2,FALSE)=0,"Nom manquant",VLOOKUP(B512,Bibliotheques!$A$10:$B$59,2,FALSE)),"Clé inconnue"))</f>
        <v/>
      </c>
      <c r="D512" s="6" t="s">
        <v>29</v>
      </c>
      <c r="E512" s="7" t="str">
        <f t="shared" si="7"/>
        <v/>
      </c>
      <c r="F512" s="6" t="s">
        <v>29</v>
      </c>
      <c r="G512" s="6" t="s">
        <v>29</v>
      </c>
      <c r="H512" s="8" t="str">
        <f>IF(A512="","",Bibliotheques!$B$5&amp;IF(RIGHT(Bibliotheques!$B$5,1)="/","","/")&amp;SUBSTITUTE(A512," ","%20"))</f>
        <v/>
      </c>
      <c r="I512" s="6" t="s">
        <v>29</v>
      </c>
      <c r="J512" s="6" t="s">
        <v>29</v>
      </c>
    </row>
    <row r="513" spans="1:10" ht="33.950000000000003" customHeight="1">
      <c r="A513" s="6" t="s">
        <v>29</v>
      </c>
      <c r="B513" s="6" t="s">
        <v>29</v>
      </c>
      <c r="C513" s="7" t="str">
        <f>IF(A513="","",IFERROR(IF(VLOOKUP(B513,Bibliotheques!$A$10:$B$59,2,FALSE)=0,"Nom manquant",VLOOKUP(B513,Bibliotheques!$A$10:$B$59,2,FALSE)),"Clé inconnue"))</f>
        <v/>
      </c>
      <c r="D513" s="6" t="s">
        <v>29</v>
      </c>
      <c r="E513" s="7" t="str">
        <f t="shared" si="7"/>
        <v/>
      </c>
      <c r="F513" s="6" t="s">
        <v>29</v>
      </c>
      <c r="G513" s="6" t="s">
        <v>29</v>
      </c>
      <c r="H513" s="8" t="str">
        <f>IF(A513="","",Bibliotheques!$B$5&amp;IF(RIGHT(Bibliotheques!$B$5,1)="/","","/")&amp;SUBSTITUTE(A513," ","%20"))</f>
        <v/>
      </c>
      <c r="I513" s="6" t="s">
        <v>29</v>
      </c>
      <c r="J513" s="6" t="s">
        <v>29</v>
      </c>
    </row>
    <row r="514" spans="1:10" ht="33.950000000000003" customHeight="1">
      <c r="A514" s="6" t="s">
        <v>29</v>
      </c>
      <c r="B514" s="6" t="s">
        <v>29</v>
      </c>
      <c r="C514" s="7" t="str">
        <f>IF(A514="","",IFERROR(IF(VLOOKUP(B514,Bibliotheques!$A$10:$B$59,2,FALSE)=0,"Nom manquant",VLOOKUP(B514,Bibliotheques!$A$10:$B$59,2,FALSE)),"Clé inconnue"))</f>
        <v/>
      </c>
      <c r="D514" s="6" t="s">
        <v>29</v>
      </c>
      <c r="E514" s="7" t="str">
        <f t="shared" si="7"/>
        <v/>
      </c>
      <c r="F514" s="6" t="s">
        <v>29</v>
      </c>
      <c r="G514" s="6" t="s">
        <v>29</v>
      </c>
      <c r="H514" s="8" t="str">
        <f>IF(A514="","",Bibliotheques!$B$5&amp;IF(RIGHT(Bibliotheques!$B$5,1)="/","","/")&amp;SUBSTITUTE(A514," ","%20"))</f>
        <v/>
      </c>
      <c r="I514" s="6" t="s">
        <v>29</v>
      </c>
      <c r="J514" s="6" t="s">
        <v>29</v>
      </c>
    </row>
    <row r="515" spans="1:10" ht="33.950000000000003" customHeight="1">
      <c r="A515" s="6" t="s">
        <v>29</v>
      </c>
      <c r="B515" s="6" t="s">
        <v>29</v>
      </c>
      <c r="C515" s="7" t="str">
        <f>IF(A515="","",IFERROR(IF(VLOOKUP(B515,Bibliotheques!$A$10:$B$59,2,FALSE)=0,"Nom manquant",VLOOKUP(B515,Bibliotheques!$A$10:$B$59,2,FALSE)),"Clé inconnue"))</f>
        <v/>
      </c>
      <c r="D515" s="6" t="s">
        <v>29</v>
      </c>
      <c r="E515" s="7" t="str">
        <f t="shared" si="7"/>
        <v/>
      </c>
      <c r="F515" s="6" t="s">
        <v>29</v>
      </c>
      <c r="G515" s="6" t="s">
        <v>29</v>
      </c>
      <c r="H515" s="8" t="str">
        <f>IF(A515="","",Bibliotheques!$B$5&amp;IF(RIGHT(Bibliotheques!$B$5,1)="/","","/")&amp;SUBSTITUTE(A515," ","%20"))</f>
        <v/>
      </c>
      <c r="I515" s="6" t="s">
        <v>29</v>
      </c>
      <c r="J515" s="6" t="s">
        <v>29</v>
      </c>
    </row>
    <row r="516" spans="1:10" ht="33.950000000000003" customHeight="1">
      <c r="A516" s="6" t="s">
        <v>29</v>
      </c>
      <c r="B516" s="6" t="s">
        <v>29</v>
      </c>
      <c r="C516" s="7" t="str">
        <f>IF(A516="","",IFERROR(IF(VLOOKUP(B516,Bibliotheques!$A$10:$B$59,2,FALSE)=0,"Nom manquant",VLOOKUP(B516,Bibliotheques!$A$10:$B$59,2,FALSE)),"Clé inconnue"))</f>
        <v/>
      </c>
      <c r="D516" s="6" t="s">
        <v>29</v>
      </c>
      <c r="E516" s="7" t="str">
        <f t="shared" si="7"/>
        <v/>
      </c>
      <c r="F516" s="6" t="s">
        <v>29</v>
      </c>
      <c r="G516" s="6" t="s">
        <v>29</v>
      </c>
      <c r="H516" s="8" t="str">
        <f>IF(A516="","",Bibliotheques!$B$5&amp;IF(RIGHT(Bibliotheques!$B$5,1)="/","","/")&amp;SUBSTITUTE(A516," ","%20"))</f>
        <v/>
      </c>
      <c r="I516" s="6" t="s">
        <v>29</v>
      </c>
      <c r="J516" s="6" t="s">
        <v>29</v>
      </c>
    </row>
    <row r="517" spans="1:10" ht="33.950000000000003" customHeight="1">
      <c r="A517" s="6" t="s">
        <v>29</v>
      </c>
      <c r="B517" s="6" t="s">
        <v>29</v>
      </c>
      <c r="C517" s="7" t="str">
        <f>IF(A517="","",IFERROR(IF(VLOOKUP(B517,Bibliotheques!$A$10:$B$59,2,FALSE)=0,"Nom manquant",VLOOKUP(B517,Bibliotheques!$A$10:$B$59,2,FALSE)),"Clé inconnue"))</f>
        <v/>
      </c>
      <c r="D517" s="6" t="s">
        <v>29</v>
      </c>
      <c r="E517" s="7" t="str">
        <f t="shared" si="7"/>
        <v/>
      </c>
      <c r="F517" s="6" t="s">
        <v>29</v>
      </c>
      <c r="G517" s="6" t="s">
        <v>29</v>
      </c>
      <c r="H517" s="8" t="str">
        <f>IF(A517="","",Bibliotheques!$B$5&amp;IF(RIGHT(Bibliotheques!$B$5,1)="/","","/")&amp;SUBSTITUTE(A517," ","%20"))</f>
        <v/>
      </c>
      <c r="I517" s="6" t="s">
        <v>29</v>
      </c>
      <c r="J517" s="6" t="s">
        <v>29</v>
      </c>
    </row>
    <row r="518" spans="1:10" ht="33.950000000000003" customHeight="1">
      <c r="A518" s="6" t="s">
        <v>29</v>
      </c>
      <c r="B518" s="6" t="s">
        <v>29</v>
      </c>
      <c r="C518" s="7" t="str">
        <f>IF(A518="","",IFERROR(IF(VLOOKUP(B518,Bibliotheques!$A$10:$B$59,2,FALSE)=0,"Nom manquant",VLOOKUP(B518,Bibliotheques!$A$10:$B$59,2,FALSE)),"Clé inconnue"))</f>
        <v/>
      </c>
      <c r="D518" s="6" t="s">
        <v>29</v>
      </c>
      <c r="E518" s="7" t="str">
        <f t="shared" ref="E518:E581" si="8">IF(A518="","",LOWER(B518&amp;"-"&amp;SUBSTITUTE(SUBSTITUTE(SUBSTITUTE(LOWER(A518),".svg","")," ","-"),"/","-")))</f>
        <v/>
      </c>
      <c r="F518" s="6" t="s">
        <v>29</v>
      </c>
      <c r="G518" s="6" t="s">
        <v>29</v>
      </c>
      <c r="H518" s="8" t="str">
        <f>IF(A518="","",Bibliotheques!$B$5&amp;IF(RIGHT(Bibliotheques!$B$5,1)="/","","/")&amp;SUBSTITUTE(A518," ","%20"))</f>
        <v/>
      </c>
      <c r="I518" s="6" t="s">
        <v>29</v>
      </c>
      <c r="J518" s="6" t="s">
        <v>29</v>
      </c>
    </row>
    <row r="519" spans="1:10" ht="33.950000000000003" customHeight="1">
      <c r="A519" s="6" t="s">
        <v>29</v>
      </c>
      <c r="B519" s="6" t="s">
        <v>29</v>
      </c>
      <c r="C519" s="7" t="str">
        <f>IF(A519="","",IFERROR(IF(VLOOKUP(B519,Bibliotheques!$A$10:$B$59,2,FALSE)=0,"Nom manquant",VLOOKUP(B519,Bibliotheques!$A$10:$B$59,2,FALSE)),"Clé inconnue"))</f>
        <v/>
      </c>
      <c r="D519" s="6" t="s">
        <v>29</v>
      </c>
      <c r="E519" s="7" t="str">
        <f t="shared" si="8"/>
        <v/>
      </c>
      <c r="F519" s="6" t="s">
        <v>29</v>
      </c>
      <c r="G519" s="6" t="s">
        <v>29</v>
      </c>
      <c r="H519" s="8" t="str">
        <f>IF(A519="","",Bibliotheques!$B$5&amp;IF(RIGHT(Bibliotheques!$B$5,1)="/","","/")&amp;SUBSTITUTE(A519," ","%20"))</f>
        <v/>
      </c>
      <c r="I519" s="6" t="s">
        <v>29</v>
      </c>
      <c r="J519" s="6" t="s">
        <v>29</v>
      </c>
    </row>
    <row r="520" spans="1:10" ht="33.950000000000003" customHeight="1">
      <c r="A520" s="6" t="s">
        <v>29</v>
      </c>
      <c r="B520" s="6" t="s">
        <v>29</v>
      </c>
      <c r="C520" s="7" t="str">
        <f>IF(A520="","",IFERROR(IF(VLOOKUP(B520,Bibliotheques!$A$10:$B$59,2,FALSE)=0,"Nom manquant",VLOOKUP(B520,Bibliotheques!$A$10:$B$59,2,FALSE)),"Clé inconnue"))</f>
        <v/>
      </c>
      <c r="D520" s="6" t="s">
        <v>29</v>
      </c>
      <c r="E520" s="7" t="str">
        <f t="shared" si="8"/>
        <v/>
      </c>
      <c r="F520" s="6" t="s">
        <v>29</v>
      </c>
      <c r="G520" s="6" t="s">
        <v>29</v>
      </c>
      <c r="H520" s="8" t="str">
        <f>IF(A520="","",Bibliotheques!$B$5&amp;IF(RIGHT(Bibliotheques!$B$5,1)="/","","/")&amp;SUBSTITUTE(A520," ","%20"))</f>
        <v/>
      </c>
      <c r="I520" s="6" t="s">
        <v>29</v>
      </c>
      <c r="J520" s="6" t="s">
        <v>29</v>
      </c>
    </row>
    <row r="521" spans="1:10" ht="33.950000000000003" customHeight="1">
      <c r="A521" s="6" t="s">
        <v>29</v>
      </c>
      <c r="B521" s="6" t="s">
        <v>29</v>
      </c>
      <c r="C521" s="7" t="str">
        <f>IF(A521="","",IFERROR(IF(VLOOKUP(B521,Bibliotheques!$A$10:$B$59,2,FALSE)=0,"Nom manquant",VLOOKUP(B521,Bibliotheques!$A$10:$B$59,2,FALSE)),"Clé inconnue"))</f>
        <v/>
      </c>
      <c r="D521" s="6" t="s">
        <v>29</v>
      </c>
      <c r="E521" s="7" t="str">
        <f t="shared" si="8"/>
        <v/>
      </c>
      <c r="F521" s="6" t="s">
        <v>29</v>
      </c>
      <c r="G521" s="6" t="s">
        <v>29</v>
      </c>
      <c r="H521" s="8" t="str">
        <f>IF(A521="","",Bibliotheques!$B$5&amp;IF(RIGHT(Bibliotheques!$B$5,1)="/","","/")&amp;SUBSTITUTE(A521," ","%20"))</f>
        <v/>
      </c>
      <c r="I521" s="6" t="s">
        <v>29</v>
      </c>
      <c r="J521" s="6" t="s">
        <v>29</v>
      </c>
    </row>
    <row r="522" spans="1:10" ht="33.950000000000003" customHeight="1">
      <c r="A522" s="6" t="s">
        <v>29</v>
      </c>
      <c r="B522" s="6" t="s">
        <v>29</v>
      </c>
      <c r="C522" s="7" t="str">
        <f>IF(A522="","",IFERROR(IF(VLOOKUP(B522,Bibliotheques!$A$10:$B$59,2,FALSE)=0,"Nom manquant",VLOOKUP(B522,Bibliotheques!$A$10:$B$59,2,FALSE)),"Clé inconnue"))</f>
        <v/>
      </c>
      <c r="D522" s="6" t="s">
        <v>29</v>
      </c>
      <c r="E522" s="7" t="str">
        <f t="shared" si="8"/>
        <v/>
      </c>
      <c r="F522" s="6" t="s">
        <v>29</v>
      </c>
      <c r="G522" s="6" t="s">
        <v>29</v>
      </c>
      <c r="H522" s="8" t="str">
        <f>IF(A522="","",Bibliotheques!$B$5&amp;IF(RIGHT(Bibliotheques!$B$5,1)="/","","/")&amp;SUBSTITUTE(A522," ","%20"))</f>
        <v/>
      </c>
      <c r="I522" s="6" t="s">
        <v>29</v>
      </c>
      <c r="J522" s="6" t="s">
        <v>29</v>
      </c>
    </row>
    <row r="523" spans="1:10" ht="33.950000000000003" customHeight="1">
      <c r="A523" s="6" t="s">
        <v>29</v>
      </c>
      <c r="B523" s="6" t="s">
        <v>29</v>
      </c>
      <c r="C523" s="7" t="str">
        <f>IF(A523="","",IFERROR(IF(VLOOKUP(B523,Bibliotheques!$A$10:$B$59,2,FALSE)=0,"Nom manquant",VLOOKUP(B523,Bibliotheques!$A$10:$B$59,2,FALSE)),"Clé inconnue"))</f>
        <v/>
      </c>
      <c r="D523" s="6" t="s">
        <v>29</v>
      </c>
      <c r="E523" s="7" t="str">
        <f t="shared" si="8"/>
        <v/>
      </c>
      <c r="F523" s="6" t="s">
        <v>29</v>
      </c>
      <c r="G523" s="6" t="s">
        <v>29</v>
      </c>
      <c r="H523" s="8" t="str">
        <f>IF(A523="","",Bibliotheques!$B$5&amp;IF(RIGHT(Bibliotheques!$B$5,1)="/","","/")&amp;SUBSTITUTE(A523," ","%20"))</f>
        <v/>
      </c>
      <c r="I523" s="6" t="s">
        <v>29</v>
      </c>
      <c r="J523" s="6" t="s">
        <v>29</v>
      </c>
    </row>
    <row r="524" spans="1:10" ht="33.950000000000003" customHeight="1">
      <c r="A524" s="6" t="s">
        <v>29</v>
      </c>
      <c r="B524" s="6" t="s">
        <v>29</v>
      </c>
      <c r="C524" s="7" t="str">
        <f>IF(A524="","",IFERROR(IF(VLOOKUP(B524,Bibliotheques!$A$10:$B$59,2,FALSE)=0,"Nom manquant",VLOOKUP(B524,Bibliotheques!$A$10:$B$59,2,FALSE)),"Clé inconnue"))</f>
        <v/>
      </c>
      <c r="D524" s="6" t="s">
        <v>29</v>
      </c>
      <c r="E524" s="7" t="str">
        <f t="shared" si="8"/>
        <v/>
      </c>
      <c r="F524" s="6" t="s">
        <v>29</v>
      </c>
      <c r="G524" s="6" t="s">
        <v>29</v>
      </c>
      <c r="H524" s="8" t="str">
        <f>IF(A524="","",Bibliotheques!$B$5&amp;IF(RIGHT(Bibliotheques!$B$5,1)="/","","/")&amp;SUBSTITUTE(A524," ","%20"))</f>
        <v/>
      </c>
      <c r="I524" s="6" t="s">
        <v>29</v>
      </c>
      <c r="J524" s="6" t="s">
        <v>29</v>
      </c>
    </row>
    <row r="525" spans="1:10" ht="33.950000000000003" customHeight="1">
      <c r="A525" s="6" t="s">
        <v>29</v>
      </c>
      <c r="B525" s="6" t="s">
        <v>29</v>
      </c>
      <c r="C525" s="7" t="str">
        <f>IF(A525="","",IFERROR(IF(VLOOKUP(B525,Bibliotheques!$A$10:$B$59,2,FALSE)=0,"Nom manquant",VLOOKUP(B525,Bibliotheques!$A$10:$B$59,2,FALSE)),"Clé inconnue"))</f>
        <v/>
      </c>
      <c r="D525" s="6" t="s">
        <v>29</v>
      </c>
      <c r="E525" s="7" t="str">
        <f t="shared" si="8"/>
        <v/>
      </c>
      <c r="F525" s="6" t="s">
        <v>29</v>
      </c>
      <c r="G525" s="6" t="s">
        <v>29</v>
      </c>
      <c r="H525" s="8" t="str">
        <f>IF(A525="","",Bibliotheques!$B$5&amp;IF(RIGHT(Bibliotheques!$B$5,1)="/","","/")&amp;SUBSTITUTE(A525," ","%20"))</f>
        <v/>
      </c>
      <c r="I525" s="6" t="s">
        <v>29</v>
      </c>
      <c r="J525" s="6" t="s">
        <v>29</v>
      </c>
    </row>
    <row r="526" spans="1:10" ht="33.950000000000003" customHeight="1">
      <c r="A526" s="6" t="s">
        <v>29</v>
      </c>
      <c r="B526" s="6" t="s">
        <v>29</v>
      </c>
      <c r="C526" s="7" t="str">
        <f>IF(A526="","",IFERROR(IF(VLOOKUP(B526,Bibliotheques!$A$10:$B$59,2,FALSE)=0,"Nom manquant",VLOOKUP(B526,Bibliotheques!$A$10:$B$59,2,FALSE)),"Clé inconnue"))</f>
        <v/>
      </c>
      <c r="D526" s="6" t="s">
        <v>29</v>
      </c>
      <c r="E526" s="7" t="str">
        <f t="shared" si="8"/>
        <v/>
      </c>
      <c r="F526" s="6" t="s">
        <v>29</v>
      </c>
      <c r="G526" s="6" t="s">
        <v>29</v>
      </c>
      <c r="H526" s="8" t="str">
        <f>IF(A526="","",Bibliotheques!$B$5&amp;IF(RIGHT(Bibliotheques!$B$5,1)="/","","/")&amp;SUBSTITUTE(A526," ","%20"))</f>
        <v/>
      </c>
      <c r="I526" s="6" t="s">
        <v>29</v>
      </c>
      <c r="J526" s="6" t="s">
        <v>29</v>
      </c>
    </row>
    <row r="527" spans="1:10" ht="33.950000000000003" customHeight="1">
      <c r="A527" s="6" t="s">
        <v>29</v>
      </c>
      <c r="B527" s="6" t="s">
        <v>29</v>
      </c>
      <c r="C527" s="7" t="str">
        <f>IF(A527="","",IFERROR(IF(VLOOKUP(B527,Bibliotheques!$A$10:$B$59,2,FALSE)=0,"Nom manquant",VLOOKUP(B527,Bibliotheques!$A$10:$B$59,2,FALSE)),"Clé inconnue"))</f>
        <v/>
      </c>
      <c r="D527" s="6" t="s">
        <v>29</v>
      </c>
      <c r="E527" s="7" t="str">
        <f t="shared" si="8"/>
        <v/>
      </c>
      <c r="F527" s="6" t="s">
        <v>29</v>
      </c>
      <c r="G527" s="6" t="s">
        <v>29</v>
      </c>
      <c r="H527" s="8" t="str">
        <f>IF(A527="","",Bibliotheques!$B$5&amp;IF(RIGHT(Bibliotheques!$B$5,1)="/","","/")&amp;SUBSTITUTE(A527," ","%20"))</f>
        <v/>
      </c>
      <c r="I527" s="6" t="s">
        <v>29</v>
      </c>
      <c r="J527" s="6" t="s">
        <v>29</v>
      </c>
    </row>
    <row r="528" spans="1:10" ht="33.950000000000003" customHeight="1">
      <c r="A528" s="6" t="s">
        <v>29</v>
      </c>
      <c r="B528" s="6" t="s">
        <v>29</v>
      </c>
      <c r="C528" s="7" t="str">
        <f>IF(A528="","",IFERROR(IF(VLOOKUP(B528,Bibliotheques!$A$10:$B$59,2,FALSE)=0,"Nom manquant",VLOOKUP(B528,Bibliotheques!$A$10:$B$59,2,FALSE)),"Clé inconnue"))</f>
        <v/>
      </c>
      <c r="D528" s="6" t="s">
        <v>29</v>
      </c>
      <c r="E528" s="7" t="str">
        <f t="shared" si="8"/>
        <v/>
      </c>
      <c r="F528" s="6" t="s">
        <v>29</v>
      </c>
      <c r="G528" s="6" t="s">
        <v>29</v>
      </c>
      <c r="H528" s="8" t="str">
        <f>IF(A528="","",Bibliotheques!$B$5&amp;IF(RIGHT(Bibliotheques!$B$5,1)="/","","/")&amp;SUBSTITUTE(A528," ","%20"))</f>
        <v/>
      </c>
      <c r="I528" s="6" t="s">
        <v>29</v>
      </c>
      <c r="J528" s="6" t="s">
        <v>29</v>
      </c>
    </row>
    <row r="529" spans="1:10" ht="33.950000000000003" customHeight="1">
      <c r="A529" s="6" t="s">
        <v>29</v>
      </c>
      <c r="B529" s="6" t="s">
        <v>29</v>
      </c>
      <c r="C529" s="7" t="str">
        <f>IF(A529="","",IFERROR(IF(VLOOKUP(B529,Bibliotheques!$A$10:$B$59,2,FALSE)=0,"Nom manquant",VLOOKUP(B529,Bibliotheques!$A$10:$B$59,2,FALSE)),"Clé inconnue"))</f>
        <v/>
      </c>
      <c r="D529" s="6" t="s">
        <v>29</v>
      </c>
      <c r="E529" s="7" t="str">
        <f t="shared" si="8"/>
        <v/>
      </c>
      <c r="F529" s="6" t="s">
        <v>29</v>
      </c>
      <c r="G529" s="6" t="s">
        <v>29</v>
      </c>
      <c r="H529" s="8" t="str">
        <f>IF(A529="","",Bibliotheques!$B$5&amp;IF(RIGHT(Bibliotheques!$B$5,1)="/","","/")&amp;SUBSTITUTE(A529," ","%20"))</f>
        <v/>
      </c>
      <c r="I529" s="6" t="s">
        <v>29</v>
      </c>
      <c r="J529" s="6" t="s">
        <v>29</v>
      </c>
    </row>
    <row r="530" spans="1:10" ht="33.950000000000003" customHeight="1">
      <c r="A530" s="6" t="s">
        <v>29</v>
      </c>
      <c r="B530" s="6" t="s">
        <v>29</v>
      </c>
      <c r="C530" s="7" t="str">
        <f>IF(A530="","",IFERROR(IF(VLOOKUP(B530,Bibliotheques!$A$10:$B$59,2,FALSE)=0,"Nom manquant",VLOOKUP(B530,Bibliotheques!$A$10:$B$59,2,FALSE)),"Clé inconnue"))</f>
        <v/>
      </c>
      <c r="D530" s="6" t="s">
        <v>29</v>
      </c>
      <c r="E530" s="7" t="str">
        <f t="shared" si="8"/>
        <v/>
      </c>
      <c r="F530" s="6" t="s">
        <v>29</v>
      </c>
      <c r="G530" s="6" t="s">
        <v>29</v>
      </c>
      <c r="H530" s="8" t="str">
        <f>IF(A530="","",Bibliotheques!$B$5&amp;IF(RIGHT(Bibliotheques!$B$5,1)="/","","/")&amp;SUBSTITUTE(A530," ","%20"))</f>
        <v/>
      </c>
      <c r="I530" s="6" t="s">
        <v>29</v>
      </c>
      <c r="J530" s="6" t="s">
        <v>29</v>
      </c>
    </row>
    <row r="531" spans="1:10" ht="33.950000000000003" customHeight="1">
      <c r="A531" s="6" t="s">
        <v>29</v>
      </c>
      <c r="B531" s="6" t="s">
        <v>29</v>
      </c>
      <c r="C531" s="7" t="str">
        <f>IF(A531="","",IFERROR(IF(VLOOKUP(B531,Bibliotheques!$A$10:$B$59,2,FALSE)=0,"Nom manquant",VLOOKUP(B531,Bibliotheques!$A$10:$B$59,2,FALSE)),"Clé inconnue"))</f>
        <v/>
      </c>
      <c r="D531" s="6" t="s">
        <v>29</v>
      </c>
      <c r="E531" s="7" t="str">
        <f t="shared" si="8"/>
        <v/>
      </c>
      <c r="F531" s="6" t="s">
        <v>29</v>
      </c>
      <c r="G531" s="6" t="s">
        <v>29</v>
      </c>
      <c r="H531" s="8" t="str">
        <f>IF(A531="","",Bibliotheques!$B$5&amp;IF(RIGHT(Bibliotheques!$B$5,1)="/","","/")&amp;SUBSTITUTE(A531," ","%20"))</f>
        <v/>
      </c>
      <c r="I531" s="6" t="s">
        <v>29</v>
      </c>
      <c r="J531" s="6" t="s">
        <v>29</v>
      </c>
    </row>
    <row r="532" spans="1:10" ht="33.950000000000003" customHeight="1">
      <c r="A532" s="6" t="s">
        <v>29</v>
      </c>
      <c r="B532" s="6" t="s">
        <v>29</v>
      </c>
      <c r="C532" s="7" t="str">
        <f>IF(A532="","",IFERROR(IF(VLOOKUP(B532,Bibliotheques!$A$10:$B$59,2,FALSE)=0,"Nom manquant",VLOOKUP(B532,Bibliotheques!$A$10:$B$59,2,FALSE)),"Clé inconnue"))</f>
        <v/>
      </c>
      <c r="D532" s="6" t="s">
        <v>29</v>
      </c>
      <c r="E532" s="7" t="str">
        <f t="shared" si="8"/>
        <v/>
      </c>
      <c r="F532" s="6" t="s">
        <v>29</v>
      </c>
      <c r="G532" s="6" t="s">
        <v>29</v>
      </c>
      <c r="H532" s="8" t="str">
        <f>IF(A532="","",Bibliotheques!$B$5&amp;IF(RIGHT(Bibliotheques!$B$5,1)="/","","/")&amp;SUBSTITUTE(A532," ","%20"))</f>
        <v/>
      </c>
      <c r="I532" s="6" t="s">
        <v>29</v>
      </c>
      <c r="J532" s="6" t="s">
        <v>29</v>
      </c>
    </row>
    <row r="533" spans="1:10" ht="33.950000000000003" customHeight="1">
      <c r="A533" s="6" t="s">
        <v>29</v>
      </c>
      <c r="B533" s="6" t="s">
        <v>29</v>
      </c>
      <c r="C533" s="7" t="str">
        <f>IF(A533="","",IFERROR(IF(VLOOKUP(B533,Bibliotheques!$A$10:$B$59,2,FALSE)=0,"Nom manquant",VLOOKUP(B533,Bibliotheques!$A$10:$B$59,2,FALSE)),"Clé inconnue"))</f>
        <v/>
      </c>
      <c r="D533" s="6" t="s">
        <v>29</v>
      </c>
      <c r="E533" s="7" t="str">
        <f t="shared" si="8"/>
        <v/>
      </c>
      <c r="F533" s="6" t="s">
        <v>29</v>
      </c>
      <c r="G533" s="6" t="s">
        <v>29</v>
      </c>
      <c r="H533" s="8" t="str">
        <f>IF(A533="","",Bibliotheques!$B$5&amp;IF(RIGHT(Bibliotheques!$B$5,1)="/","","/")&amp;SUBSTITUTE(A533," ","%20"))</f>
        <v/>
      </c>
      <c r="I533" s="6" t="s">
        <v>29</v>
      </c>
      <c r="J533" s="6" t="s">
        <v>29</v>
      </c>
    </row>
    <row r="534" spans="1:10" ht="33.950000000000003" customHeight="1">
      <c r="A534" s="6" t="s">
        <v>29</v>
      </c>
      <c r="B534" s="6" t="s">
        <v>29</v>
      </c>
      <c r="C534" s="7" t="str">
        <f>IF(A534="","",IFERROR(IF(VLOOKUP(B534,Bibliotheques!$A$10:$B$59,2,FALSE)=0,"Nom manquant",VLOOKUP(B534,Bibliotheques!$A$10:$B$59,2,FALSE)),"Clé inconnue"))</f>
        <v/>
      </c>
      <c r="D534" s="6" t="s">
        <v>29</v>
      </c>
      <c r="E534" s="7" t="str">
        <f t="shared" si="8"/>
        <v/>
      </c>
      <c r="F534" s="6" t="s">
        <v>29</v>
      </c>
      <c r="G534" s="6" t="s">
        <v>29</v>
      </c>
      <c r="H534" s="8" t="str">
        <f>IF(A534="","",Bibliotheques!$B$5&amp;IF(RIGHT(Bibliotheques!$B$5,1)="/","","/")&amp;SUBSTITUTE(A534," ","%20"))</f>
        <v/>
      </c>
      <c r="I534" s="6" t="s">
        <v>29</v>
      </c>
      <c r="J534" s="6" t="s">
        <v>29</v>
      </c>
    </row>
    <row r="535" spans="1:10" ht="33.950000000000003" customHeight="1">
      <c r="A535" s="6" t="s">
        <v>29</v>
      </c>
      <c r="B535" s="6" t="s">
        <v>29</v>
      </c>
      <c r="C535" s="7" t="str">
        <f>IF(A535="","",IFERROR(IF(VLOOKUP(B535,Bibliotheques!$A$10:$B$59,2,FALSE)=0,"Nom manquant",VLOOKUP(B535,Bibliotheques!$A$10:$B$59,2,FALSE)),"Clé inconnue"))</f>
        <v/>
      </c>
      <c r="D535" s="6" t="s">
        <v>29</v>
      </c>
      <c r="E535" s="7" t="str">
        <f t="shared" si="8"/>
        <v/>
      </c>
      <c r="F535" s="6" t="s">
        <v>29</v>
      </c>
      <c r="G535" s="6" t="s">
        <v>29</v>
      </c>
      <c r="H535" s="8" t="str">
        <f>IF(A535="","",Bibliotheques!$B$5&amp;IF(RIGHT(Bibliotheques!$B$5,1)="/","","/")&amp;SUBSTITUTE(A535," ","%20"))</f>
        <v/>
      </c>
      <c r="I535" s="6" t="s">
        <v>29</v>
      </c>
      <c r="J535" s="6" t="s">
        <v>29</v>
      </c>
    </row>
    <row r="536" spans="1:10" ht="33.950000000000003" customHeight="1">
      <c r="A536" s="6" t="s">
        <v>29</v>
      </c>
      <c r="B536" s="6" t="s">
        <v>29</v>
      </c>
      <c r="C536" s="7" t="str">
        <f>IF(A536="","",IFERROR(IF(VLOOKUP(B536,Bibliotheques!$A$10:$B$59,2,FALSE)=0,"Nom manquant",VLOOKUP(B536,Bibliotheques!$A$10:$B$59,2,FALSE)),"Clé inconnue"))</f>
        <v/>
      </c>
      <c r="D536" s="6" t="s">
        <v>29</v>
      </c>
      <c r="E536" s="7" t="str">
        <f t="shared" si="8"/>
        <v/>
      </c>
      <c r="F536" s="6" t="s">
        <v>29</v>
      </c>
      <c r="G536" s="6" t="s">
        <v>29</v>
      </c>
      <c r="H536" s="8" t="str">
        <f>IF(A536="","",Bibliotheques!$B$5&amp;IF(RIGHT(Bibliotheques!$B$5,1)="/","","/")&amp;SUBSTITUTE(A536," ","%20"))</f>
        <v/>
      </c>
      <c r="I536" s="6" t="s">
        <v>29</v>
      </c>
      <c r="J536" s="6" t="s">
        <v>29</v>
      </c>
    </row>
    <row r="537" spans="1:10" ht="33.950000000000003" customHeight="1">
      <c r="A537" s="6" t="s">
        <v>29</v>
      </c>
      <c r="B537" s="6" t="s">
        <v>29</v>
      </c>
      <c r="C537" s="7" t="str">
        <f>IF(A537="","",IFERROR(IF(VLOOKUP(B537,Bibliotheques!$A$10:$B$59,2,FALSE)=0,"Nom manquant",VLOOKUP(B537,Bibliotheques!$A$10:$B$59,2,FALSE)),"Clé inconnue"))</f>
        <v/>
      </c>
      <c r="D537" s="6" t="s">
        <v>29</v>
      </c>
      <c r="E537" s="7" t="str">
        <f t="shared" si="8"/>
        <v/>
      </c>
      <c r="F537" s="6" t="s">
        <v>29</v>
      </c>
      <c r="G537" s="6" t="s">
        <v>29</v>
      </c>
      <c r="H537" s="8" t="str">
        <f>IF(A537="","",Bibliotheques!$B$5&amp;IF(RIGHT(Bibliotheques!$B$5,1)="/","","/")&amp;SUBSTITUTE(A537," ","%20"))</f>
        <v/>
      </c>
      <c r="I537" s="6" t="s">
        <v>29</v>
      </c>
      <c r="J537" s="6" t="s">
        <v>29</v>
      </c>
    </row>
    <row r="538" spans="1:10" ht="33.950000000000003" customHeight="1">
      <c r="A538" s="6" t="s">
        <v>29</v>
      </c>
      <c r="B538" s="6" t="s">
        <v>29</v>
      </c>
      <c r="C538" s="7" t="str">
        <f>IF(A538="","",IFERROR(IF(VLOOKUP(B538,Bibliotheques!$A$10:$B$59,2,FALSE)=0,"Nom manquant",VLOOKUP(B538,Bibliotheques!$A$10:$B$59,2,FALSE)),"Clé inconnue"))</f>
        <v/>
      </c>
      <c r="D538" s="6" t="s">
        <v>29</v>
      </c>
      <c r="E538" s="7" t="str">
        <f t="shared" si="8"/>
        <v/>
      </c>
      <c r="F538" s="6" t="s">
        <v>29</v>
      </c>
      <c r="G538" s="6" t="s">
        <v>29</v>
      </c>
      <c r="H538" s="8" t="str">
        <f>IF(A538="","",Bibliotheques!$B$5&amp;IF(RIGHT(Bibliotheques!$B$5,1)="/","","/")&amp;SUBSTITUTE(A538," ","%20"))</f>
        <v/>
      </c>
      <c r="I538" s="6" t="s">
        <v>29</v>
      </c>
      <c r="J538" s="6" t="s">
        <v>29</v>
      </c>
    </row>
    <row r="539" spans="1:10" ht="33.950000000000003" customHeight="1">
      <c r="A539" s="6" t="s">
        <v>29</v>
      </c>
      <c r="B539" s="6" t="s">
        <v>29</v>
      </c>
      <c r="C539" s="7" t="str">
        <f>IF(A539="","",IFERROR(IF(VLOOKUP(B539,Bibliotheques!$A$10:$B$59,2,FALSE)=0,"Nom manquant",VLOOKUP(B539,Bibliotheques!$A$10:$B$59,2,FALSE)),"Clé inconnue"))</f>
        <v/>
      </c>
      <c r="D539" s="6" t="s">
        <v>29</v>
      </c>
      <c r="E539" s="7" t="str">
        <f t="shared" si="8"/>
        <v/>
      </c>
      <c r="F539" s="6" t="s">
        <v>29</v>
      </c>
      <c r="G539" s="6" t="s">
        <v>29</v>
      </c>
      <c r="H539" s="8" t="str">
        <f>IF(A539="","",Bibliotheques!$B$5&amp;IF(RIGHT(Bibliotheques!$B$5,1)="/","","/")&amp;SUBSTITUTE(A539," ","%20"))</f>
        <v/>
      </c>
      <c r="I539" s="6" t="s">
        <v>29</v>
      </c>
      <c r="J539" s="6" t="s">
        <v>29</v>
      </c>
    </row>
    <row r="540" spans="1:10" ht="33.950000000000003" customHeight="1">
      <c r="A540" s="6" t="s">
        <v>29</v>
      </c>
      <c r="B540" s="6" t="s">
        <v>29</v>
      </c>
      <c r="C540" s="7" t="str">
        <f>IF(A540="","",IFERROR(IF(VLOOKUP(B540,Bibliotheques!$A$10:$B$59,2,FALSE)=0,"Nom manquant",VLOOKUP(B540,Bibliotheques!$A$10:$B$59,2,FALSE)),"Clé inconnue"))</f>
        <v/>
      </c>
      <c r="D540" s="6" t="s">
        <v>29</v>
      </c>
      <c r="E540" s="7" t="str">
        <f t="shared" si="8"/>
        <v/>
      </c>
      <c r="F540" s="6" t="s">
        <v>29</v>
      </c>
      <c r="G540" s="6" t="s">
        <v>29</v>
      </c>
      <c r="H540" s="8" t="str">
        <f>IF(A540="","",Bibliotheques!$B$5&amp;IF(RIGHT(Bibliotheques!$B$5,1)="/","","/")&amp;SUBSTITUTE(A540," ","%20"))</f>
        <v/>
      </c>
      <c r="I540" s="6" t="s">
        <v>29</v>
      </c>
      <c r="J540" s="6" t="s">
        <v>29</v>
      </c>
    </row>
    <row r="541" spans="1:10" ht="33.950000000000003" customHeight="1">
      <c r="A541" s="6" t="s">
        <v>29</v>
      </c>
      <c r="B541" s="6" t="s">
        <v>29</v>
      </c>
      <c r="C541" s="7" t="str">
        <f>IF(A541="","",IFERROR(IF(VLOOKUP(B541,Bibliotheques!$A$10:$B$59,2,FALSE)=0,"Nom manquant",VLOOKUP(B541,Bibliotheques!$A$10:$B$59,2,FALSE)),"Clé inconnue"))</f>
        <v/>
      </c>
      <c r="D541" s="6" t="s">
        <v>29</v>
      </c>
      <c r="E541" s="7" t="str">
        <f t="shared" si="8"/>
        <v/>
      </c>
      <c r="F541" s="6" t="s">
        <v>29</v>
      </c>
      <c r="G541" s="6" t="s">
        <v>29</v>
      </c>
      <c r="H541" s="8" t="str">
        <f>IF(A541="","",Bibliotheques!$B$5&amp;IF(RIGHT(Bibliotheques!$B$5,1)="/","","/")&amp;SUBSTITUTE(A541," ","%20"))</f>
        <v/>
      </c>
      <c r="I541" s="6" t="s">
        <v>29</v>
      </c>
      <c r="J541" s="6" t="s">
        <v>29</v>
      </c>
    </row>
    <row r="542" spans="1:10" ht="33.950000000000003" customHeight="1">
      <c r="A542" s="6" t="s">
        <v>29</v>
      </c>
      <c r="B542" s="6" t="s">
        <v>29</v>
      </c>
      <c r="C542" s="7" t="str">
        <f>IF(A542="","",IFERROR(IF(VLOOKUP(B542,Bibliotheques!$A$10:$B$59,2,FALSE)=0,"Nom manquant",VLOOKUP(B542,Bibliotheques!$A$10:$B$59,2,FALSE)),"Clé inconnue"))</f>
        <v/>
      </c>
      <c r="D542" s="6" t="s">
        <v>29</v>
      </c>
      <c r="E542" s="7" t="str">
        <f t="shared" si="8"/>
        <v/>
      </c>
      <c r="F542" s="6" t="s">
        <v>29</v>
      </c>
      <c r="G542" s="6" t="s">
        <v>29</v>
      </c>
      <c r="H542" s="8" t="str">
        <f>IF(A542="","",Bibliotheques!$B$5&amp;IF(RIGHT(Bibliotheques!$B$5,1)="/","","/")&amp;SUBSTITUTE(A542," ","%20"))</f>
        <v/>
      </c>
      <c r="I542" s="6" t="s">
        <v>29</v>
      </c>
      <c r="J542" s="6" t="s">
        <v>29</v>
      </c>
    </row>
    <row r="543" spans="1:10" ht="33.950000000000003" customHeight="1">
      <c r="A543" s="6" t="s">
        <v>29</v>
      </c>
      <c r="B543" s="6" t="s">
        <v>29</v>
      </c>
      <c r="C543" s="7" t="str">
        <f>IF(A543="","",IFERROR(IF(VLOOKUP(B543,Bibliotheques!$A$10:$B$59,2,FALSE)=0,"Nom manquant",VLOOKUP(B543,Bibliotheques!$A$10:$B$59,2,FALSE)),"Clé inconnue"))</f>
        <v/>
      </c>
      <c r="D543" s="6" t="s">
        <v>29</v>
      </c>
      <c r="E543" s="7" t="str">
        <f t="shared" si="8"/>
        <v/>
      </c>
      <c r="F543" s="6" t="s">
        <v>29</v>
      </c>
      <c r="G543" s="6" t="s">
        <v>29</v>
      </c>
      <c r="H543" s="8" t="str">
        <f>IF(A543="","",Bibliotheques!$B$5&amp;IF(RIGHT(Bibliotheques!$B$5,1)="/","","/")&amp;SUBSTITUTE(A543," ","%20"))</f>
        <v/>
      </c>
      <c r="I543" s="6" t="s">
        <v>29</v>
      </c>
      <c r="J543" s="6" t="s">
        <v>29</v>
      </c>
    </row>
    <row r="544" spans="1:10" ht="33.950000000000003" customHeight="1">
      <c r="A544" s="6" t="s">
        <v>29</v>
      </c>
      <c r="B544" s="6" t="s">
        <v>29</v>
      </c>
      <c r="C544" s="7" t="str">
        <f>IF(A544="","",IFERROR(IF(VLOOKUP(B544,Bibliotheques!$A$10:$B$59,2,FALSE)=0,"Nom manquant",VLOOKUP(B544,Bibliotheques!$A$10:$B$59,2,FALSE)),"Clé inconnue"))</f>
        <v/>
      </c>
      <c r="D544" s="6" t="s">
        <v>29</v>
      </c>
      <c r="E544" s="7" t="str">
        <f t="shared" si="8"/>
        <v/>
      </c>
      <c r="F544" s="6" t="s">
        <v>29</v>
      </c>
      <c r="G544" s="6" t="s">
        <v>29</v>
      </c>
      <c r="H544" s="8" t="str">
        <f>IF(A544="","",Bibliotheques!$B$5&amp;IF(RIGHT(Bibliotheques!$B$5,1)="/","","/")&amp;SUBSTITUTE(A544," ","%20"))</f>
        <v/>
      </c>
      <c r="I544" s="6" t="s">
        <v>29</v>
      </c>
      <c r="J544" s="6" t="s">
        <v>29</v>
      </c>
    </row>
    <row r="545" spans="1:10" ht="33.950000000000003" customHeight="1">
      <c r="A545" s="6" t="s">
        <v>29</v>
      </c>
      <c r="B545" s="6" t="s">
        <v>29</v>
      </c>
      <c r="C545" s="7" t="str">
        <f>IF(A545="","",IFERROR(IF(VLOOKUP(B545,Bibliotheques!$A$10:$B$59,2,FALSE)=0,"Nom manquant",VLOOKUP(B545,Bibliotheques!$A$10:$B$59,2,FALSE)),"Clé inconnue"))</f>
        <v/>
      </c>
      <c r="D545" s="6" t="s">
        <v>29</v>
      </c>
      <c r="E545" s="7" t="str">
        <f t="shared" si="8"/>
        <v/>
      </c>
      <c r="F545" s="6" t="s">
        <v>29</v>
      </c>
      <c r="G545" s="6" t="s">
        <v>29</v>
      </c>
      <c r="H545" s="8" t="str">
        <f>IF(A545="","",Bibliotheques!$B$5&amp;IF(RIGHT(Bibliotheques!$B$5,1)="/","","/")&amp;SUBSTITUTE(A545," ","%20"))</f>
        <v/>
      </c>
      <c r="I545" s="6" t="s">
        <v>29</v>
      </c>
      <c r="J545" s="6" t="s">
        <v>29</v>
      </c>
    </row>
    <row r="546" spans="1:10" ht="33.950000000000003" customHeight="1">
      <c r="A546" s="6" t="s">
        <v>29</v>
      </c>
      <c r="B546" s="6" t="s">
        <v>29</v>
      </c>
      <c r="C546" s="7" t="str">
        <f>IF(A546="","",IFERROR(IF(VLOOKUP(B546,Bibliotheques!$A$10:$B$59,2,FALSE)=0,"Nom manquant",VLOOKUP(B546,Bibliotheques!$A$10:$B$59,2,FALSE)),"Clé inconnue"))</f>
        <v/>
      </c>
      <c r="D546" s="6" t="s">
        <v>29</v>
      </c>
      <c r="E546" s="7" t="str">
        <f t="shared" si="8"/>
        <v/>
      </c>
      <c r="F546" s="6" t="s">
        <v>29</v>
      </c>
      <c r="G546" s="6" t="s">
        <v>29</v>
      </c>
      <c r="H546" s="8" t="str">
        <f>IF(A546="","",Bibliotheques!$B$5&amp;IF(RIGHT(Bibliotheques!$B$5,1)="/","","/")&amp;SUBSTITUTE(A546," ","%20"))</f>
        <v/>
      </c>
      <c r="I546" s="6" t="s">
        <v>29</v>
      </c>
      <c r="J546" s="6" t="s">
        <v>29</v>
      </c>
    </row>
    <row r="547" spans="1:10" ht="33.950000000000003" customHeight="1">
      <c r="A547" s="6" t="s">
        <v>29</v>
      </c>
      <c r="B547" s="6" t="s">
        <v>29</v>
      </c>
      <c r="C547" s="7" t="str">
        <f>IF(A547="","",IFERROR(IF(VLOOKUP(B547,Bibliotheques!$A$10:$B$59,2,FALSE)=0,"Nom manquant",VLOOKUP(B547,Bibliotheques!$A$10:$B$59,2,FALSE)),"Clé inconnue"))</f>
        <v/>
      </c>
      <c r="D547" s="6" t="s">
        <v>29</v>
      </c>
      <c r="E547" s="7" t="str">
        <f t="shared" si="8"/>
        <v/>
      </c>
      <c r="F547" s="6" t="s">
        <v>29</v>
      </c>
      <c r="G547" s="6" t="s">
        <v>29</v>
      </c>
      <c r="H547" s="8" t="str">
        <f>IF(A547="","",Bibliotheques!$B$5&amp;IF(RIGHT(Bibliotheques!$B$5,1)="/","","/")&amp;SUBSTITUTE(A547," ","%20"))</f>
        <v/>
      </c>
      <c r="I547" s="6" t="s">
        <v>29</v>
      </c>
      <c r="J547" s="6" t="s">
        <v>29</v>
      </c>
    </row>
    <row r="548" spans="1:10" ht="33.950000000000003" customHeight="1">
      <c r="A548" s="6" t="s">
        <v>29</v>
      </c>
      <c r="B548" s="6" t="s">
        <v>29</v>
      </c>
      <c r="C548" s="7" t="str">
        <f>IF(A548="","",IFERROR(IF(VLOOKUP(B548,Bibliotheques!$A$10:$B$59,2,FALSE)=0,"Nom manquant",VLOOKUP(B548,Bibliotheques!$A$10:$B$59,2,FALSE)),"Clé inconnue"))</f>
        <v/>
      </c>
      <c r="D548" s="6" t="s">
        <v>29</v>
      </c>
      <c r="E548" s="7" t="str">
        <f t="shared" si="8"/>
        <v/>
      </c>
      <c r="F548" s="6" t="s">
        <v>29</v>
      </c>
      <c r="G548" s="6" t="s">
        <v>29</v>
      </c>
      <c r="H548" s="8" t="str">
        <f>IF(A548="","",Bibliotheques!$B$5&amp;IF(RIGHT(Bibliotheques!$B$5,1)="/","","/")&amp;SUBSTITUTE(A548," ","%20"))</f>
        <v/>
      </c>
      <c r="I548" s="6" t="s">
        <v>29</v>
      </c>
      <c r="J548" s="6" t="s">
        <v>29</v>
      </c>
    </row>
    <row r="549" spans="1:10" ht="33.950000000000003" customHeight="1">
      <c r="A549" s="6" t="s">
        <v>29</v>
      </c>
      <c r="B549" s="6" t="s">
        <v>29</v>
      </c>
      <c r="C549" s="7" t="str">
        <f>IF(A549="","",IFERROR(IF(VLOOKUP(B549,Bibliotheques!$A$10:$B$59,2,FALSE)=0,"Nom manquant",VLOOKUP(B549,Bibliotheques!$A$10:$B$59,2,FALSE)),"Clé inconnue"))</f>
        <v/>
      </c>
      <c r="D549" s="6" t="s">
        <v>29</v>
      </c>
      <c r="E549" s="7" t="str">
        <f t="shared" si="8"/>
        <v/>
      </c>
      <c r="F549" s="6" t="s">
        <v>29</v>
      </c>
      <c r="G549" s="6" t="s">
        <v>29</v>
      </c>
      <c r="H549" s="8" t="str">
        <f>IF(A549="","",Bibliotheques!$B$5&amp;IF(RIGHT(Bibliotheques!$B$5,1)="/","","/")&amp;SUBSTITUTE(A549," ","%20"))</f>
        <v/>
      </c>
      <c r="I549" s="6" t="s">
        <v>29</v>
      </c>
      <c r="J549" s="6" t="s">
        <v>29</v>
      </c>
    </row>
    <row r="550" spans="1:10" ht="33.950000000000003" customHeight="1">
      <c r="A550" s="6" t="s">
        <v>29</v>
      </c>
      <c r="B550" s="6" t="s">
        <v>29</v>
      </c>
      <c r="C550" s="7" t="str">
        <f>IF(A550="","",IFERROR(IF(VLOOKUP(B550,Bibliotheques!$A$10:$B$59,2,FALSE)=0,"Nom manquant",VLOOKUP(B550,Bibliotheques!$A$10:$B$59,2,FALSE)),"Clé inconnue"))</f>
        <v/>
      </c>
      <c r="D550" s="6" t="s">
        <v>29</v>
      </c>
      <c r="E550" s="7" t="str">
        <f t="shared" si="8"/>
        <v/>
      </c>
      <c r="F550" s="6" t="s">
        <v>29</v>
      </c>
      <c r="G550" s="6" t="s">
        <v>29</v>
      </c>
      <c r="H550" s="8" t="str">
        <f>IF(A550="","",Bibliotheques!$B$5&amp;IF(RIGHT(Bibliotheques!$B$5,1)="/","","/")&amp;SUBSTITUTE(A550," ","%20"))</f>
        <v/>
      </c>
      <c r="I550" s="6" t="s">
        <v>29</v>
      </c>
      <c r="J550" s="6" t="s">
        <v>29</v>
      </c>
    </row>
    <row r="551" spans="1:10" ht="33.950000000000003" customHeight="1">
      <c r="A551" s="6" t="s">
        <v>29</v>
      </c>
      <c r="B551" s="6" t="s">
        <v>29</v>
      </c>
      <c r="C551" s="7" t="str">
        <f>IF(A551="","",IFERROR(IF(VLOOKUP(B551,Bibliotheques!$A$10:$B$59,2,FALSE)=0,"Nom manquant",VLOOKUP(B551,Bibliotheques!$A$10:$B$59,2,FALSE)),"Clé inconnue"))</f>
        <v/>
      </c>
      <c r="D551" s="6" t="s">
        <v>29</v>
      </c>
      <c r="E551" s="7" t="str">
        <f t="shared" si="8"/>
        <v/>
      </c>
      <c r="F551" s="6" t="s">
        <v>29</v>
      </c>
      <c r="G551" s="6" t="s">
        <v>29</v>
      </c>
      <c r="H551" s="8" t="str">
        <f>IF(A551="","",Bibliotheques!$B$5&amp;IF(RIGHT(Bibliotheques!$B$5,1)="/","","/")&amp;SUBSTITUTE(A551," ","%20"))</f>
        <v/>
      </c>
      <c r="I551" s="6" t="s">
        <v>29</v>
      </c>
      <c r="J551" s="6" t="s">
        <v>29</v>
      </c>
    </row>
    <row r="552" spans="1:10" ht="33.950000000000003" customHeight="1">
      <c r="A552" s="6" t="s">
        <v>29</v>
      </c>
      <c r="B552" s="6" t="s">
        <v>29</v>
      </c>
      <c r="C552" s="7" t="str">
        <f>IF(A552="","",IFERROR(IF(VLOOKUP(B552,Bibliotheques!$A$10:$B$59,2,FALSE)=0,"Nom manquant",VLOOKUP(B552,Bibliotheques!$A$10:$B$59,2,FALSE)),"Clé inconnue"))</f>
        <v/>
      </c>
      <c r="D552" s="6" t="s">
        <v>29</v>
      </c>
      <c r="E552" s="7" t="str">
        <f t="shared" si="8"/>
        <v/>
      </c>
      <c r="F552" s="6" t="s">
        <v>29</v>
      </c>
      <c r="G552" s="6" t="s">
        <v>29</v>
      </c>
      <c r="H552" s="8" t="str">
        <f>IF(A552="","",Bibliotheques!$B$5&amp;IF(RIGHT(Bibliotheques!$B$5,1)="/","","/")&amp;SUBSTITUTE(A552," ","%20"))</f>
        <v/>
      </c>
      <c r="I552" s="6" t="s">
        <v>29</v>
      </c>
      <c r="J552" s="6" t="s">
        <v>29</v>
      </c>
    </row>
    <row r="553" spans="1:10" ht="33.950000000000003" customHeight="1">
      <c r="A553" s="6" t="s">
        <v>29</v>
      </c>
      <c r="B553" s="6" t="s">
        <v>29</v>
      </c>
      <c r="C553" s="7" t="str">
        <f>IF(A553="","",IFERROR(IF(VLOOKUP(B553,Bibliotheques!$A$10:$B$59,2,FALSE)=0,"Nom manquant",VLOOKUP(B553,Bibliotheques!$A$10:$B$59,2,FALSE)),"Clé inconnue"))</f>
        <v/>
      </c>
      <c r="D553" s="6" t="s">
        <v>29</v>
      </c>
      <c r="E553" s="7" t="str">
        <f t="shared" si="8"/>
        <v/>
      </c>
      <c r="F553" s="6" t="s">
        <v>29</v>
      </c>
      <c r="G553" s="6" t="s">
        <v>29</v>
      </c>
      <c r="H553" s="8" t="str">
        <f>IF(A553="","",Bibliotheques!$B$5&amp;IF(RIGHT(Bibliotheques!$B$5,1)="/","","/")&amp;SUBSTITUTE(A553," ","%20"))</f>
        <v/>
      </c>
      <c r="I553" s="6" t="s">
        <v>29</v>
      </c>
      <c r="J553" s="6" t="s">
        <v>29</v>
      </c>
    </row>
    <row r="554" spans="1:10" ht="33.950000000000003" customHeight="1">
      <c r="A554" s="6" t="s">
        <v>29</v>
      </c>
      <c r="B554" s="6" t="s">
        <v>29</v>
      </c>
      <c r="C554" s="7" t="str">
        <f>IF(A554="","",IFERROR(IF(VLOOKUP(B554,Bibliotheques!$A$10:$B$59,2,FALSE)=0,"Nom manquant",VLOOKUP(B554,Bibliotheques!$A$10:$B$59,2,FALSE)),"Clé inconnue"))</f>
        <v/>
      </c>
      <c r="D554" s="6" t="s">
        <v>29</v>
      </c>
      <c r="E554" s="7" t="str">
        <f t="shared" si="8"/>
        <v/>
      </c>
      <c r="F554" s="6" t="s">
        <v>29</v>
      </c>
      <c r="G554" s="6" t="s">
        <v>29</v>
      </c>
      <c r="H554" s="8" t="str">
        <f>IF(A554="","",Bibliotheques!$B$5&amp;IF(RIGHT(Bibliotheques!$B$5,1)="/","","/")&amp;SUBSTITUTE(A554," ","%20"))</f>
        <v/>
      </c>
      <c r="I554" s="6" t="s">
        <v>29</v>
      </c>
      <c r="J554" s="6" t="s">
        <v>29</v>
      </c>
    </row>
    <row r="555" spans="1:10" ht="33.950000000000003" customHeight="1">
      <c r="A555" s="6" t="s">
        <v>29</v>
      </c>
      <c r="B555" s="6" t="s">
        <v>29</v>
      </c>
      <c r="C555" s="7" t="str">
        <f>IF(A555="","",IFERROR(IF(VLOOKUP(B555,Bibliotheques!$A$10:$B$59,2,FALSE)=0,"Nom manquant",VLOOKUP(B555,Bibliotheques!$A$10:$B$59,2,FALSE)),"Clé inconnue"))</f>
        <v/>
      </c>
      <c r="D555" s="6" t="s">
        <v>29</v>
      </c>
      <c r="E555" s="7" t="str">
        <f t="shared" si="8"/>
        <v/>
      </c>
      <c r="F555" s="6" t="s">
        <v>29</v>
      </c>
      <c r="G555" s="6" t="s">
        <v>29</v>
      </c>
      <c r="H555" s="8" t="str">
        <f>IF(A555="","",Bibliotheques!$B$5&amp;IF(RIGHT(Bibliotheques!$B$5,1)="/","","/")&amp;SUBSTITUTE(A555," ","%20"))</f>
        <v/>
      </c>
      <c r="I555" s="6" t="s">
        <v>29</v>
      </c>
      <c r="J555" s="6" t="s">
        <v>29</v>
      </c>
    </row>
    <row r="556" spans="1:10" ht="33.950000000000003" customHeight="1">
      <c r="A556" s="6" t="s">
        <v>29</v>
      </c>
      <c r="B556" s="6" t="s">
        <v>29</v>
      </c>
      <c r="C556" s="7" t="str">
        <f>IF(A556="","",IFERROR(IF(VLOOKUP(B556,Bibliotheques!$A$10:$B$59,2,FALSE)=0,"Nom manquant",VLOOKUP(B556,Bibliotheques!$A$10:$B$59,2,FALSE)),"Clé inconnue"))</f>
        <v/>
      </c>
      <c r="D556" s="6" t="s">
        <v>29</v>
      </c>
      <c r="E556" s="7" t="str">
        <f t="shared" si="8"/>
        <v/>
      </c>
      <c r="F556" s="6" t="s">
        <v>29</v>
      </c>
      <c r="G556" s="6" t="s">
        <v>29</v>
      </c>
      <c r="H556" s="8" t="str">
        <f>IF(A556="","",Bibliotheques!$B$5&amp;IF(RIGHT(Bibliotheques!$B$5,1)="/","","/")&amp;SUBSTITUTE(A556," ","%20"))</f>
        <v/>
      </c>
      <c r="I556" s="6" t="s">
        <v>29</v>
      </c>
      <c r="J556" s="6" t="s">
        <v>29</v>
      </c>
    </row>
    <row r="557" spans="1:10" ht="33.950000000000003" customHeight="1">
      <c r="A557" s="6" t="s">
        <v>29</v>
      </c>
      <c r="B557" s="6" t="s">
        <v>29</v>
      </c>
      <c r="C557" s="7" t="str">
        <f>IF(A557="","",IFERROR(IF(VLOOKUP(B557,Bibliotheques!$A$10:$B$59,2,FALSE)=0,"Nom manquant",VLOOKUP(B557,Bibliotheques!$A$10:$B$59,2,FALSE)),"Clé inconnue"))</f>
        <v/>
      </c>
      <c r="D557" s="6" t="s">
        <v>29</v>
      </c>
      <c r="E557" s="7" t="str">
        <f t="shared" si="8"/>
        <v/>
      </c>
      <c r="F557" s="6" t="s">
        <v>29</v>
      </c>
      <c r="G557" s="6" t="s">
        <v>29</v>
      </c>
      <c r="H557" s="8" t="str">
        <f>IF(A557="","",Bibliotheques!$B$5&amp;IF(RIGHT(Bibliotheques!$B$5,1)="/","","/")&amp;SUBSTITUTE(A557," ","%20"))</f>
        <v/>
      </c>
      <c r="I557" s="6" t="s">
        <v>29</v>
      </c>
      <c r="J557" s="6" t="s">
        <v>29</v>
      </c>
    </row>
    <row r="558" spans="1:10" ht="33.950000000000003" customHeight="1">
      <c r="A558" s="6" t="s">
        <v>29</v>
      </c>
      <c r="B558" s="6" t="s">
        <v>29</v>
      </c>
      <c r="C558" s="7" t="str">
        <f>IF(A558="","",IFERROR(IF(VLOOKUP(B558,Bibliotheques!$A$10:$B$59,2,FALSE)=0,"Nom manquant",VLOOKUP(B558,Bibliotheques!$A$10:$B$59,2,FALSE)),"Clé inconnue"))</f>
        <v/>
      </c>
      <c r="D558" s="6" t="s">
        <v>29</v>
      </c>
      <c r="E558" s="7" t="str">
        <f t="shared" si="8"/>
        <v/>
      </c>
      <c r="F558" s="6" t="s">
        <v>29</v>
      </c>
      <c r="G558" s="6" t="s">
        <v>29</v>
      </c>
      <c r="H558" s="8" t="str">
        <f>IF(A558="","",Bibliotheques!$B$5&amp;IF(RIGHT(Bibliotheques!$B$5,1)="/","","/")&amp;SUBSTITUTE(A558," ","%20"))</f>
        <v/>
      </c>
      <c r="I558" s="6" t="s">
        <v>29</v>
      </c>
      <c r="J558" s="6" t="s">
        <v>29</v>
      </c>
    </row>
    <row r="559" spans="1:10" ht="33.950000000000003" customHeight="1">
      <c r="A559" s="6" t="s">
        <v>29</v>
      </c>
      <c r="B559" s="6" t="s">
        <v>29</v>
      </c>
      <c r="C559" s="7" t="str">
        <f>IF(A559="","",IFERROR(IF(VLOOKUP(B559,Bibliotheques!$A$10:$B$59,2,FALSE)=0,"Nom manquant",VLOOKUP(B559,Bibliotheques!$A$10:$B$59,2,FALSE)),"Clé inconnue"))</f>
        <v/>
      </c>
      <c r="D559" s="6" t="s">
        <v>29</v>
      </c>
      <c r="E559" s="7" t="str">
        <f t="shared" si="8"/>
        <v/>
      </c>
      <c r="F559" s="6" t="s">
        <v>29</v>
      </c>
      <c r="G559" s="6" t="s">
        <v>29</v>
      </c>
      <c r="H559" s="8" t="str">
        <f>IF(A559="","",Bibliotheques!$B$5&amp;IF(RIGHT(Bibliotheques!$B$5,1)="/","","/")&amp;SUBSTITUTE(A559," ","%20"))</f>
        <v/>
      </c>
      <c r="I559" s="6" t="s">
        <v>29</v>
      </c>
      <c r="J559" s="6" t="s">
        <v>29</v>
      </c>
    </row>
    <row r="560" spans="1:10" ht="33.950000000000003" customHeight="1">
      <c r="A560" s="6" t="s">
        <v>29</v>
      </c>
      <c r="B560" s="6" t="s">
        <v>29</v>
      </c>
      <c r="C560" s="7" t="str">
        <f>IF(A560="","",IFERROR(IF(VLOOKUP(B560,Bibliotheques!$A$10:$B$59,2,FALSE)=0,"Nom manquant",VLOOKUP(B560,Bibliotheques!$A$10:$B$59,2,FALSE)),"Clé inconnue"))</f>
        <v/>
      </c>
      <c r="D560" s="6" t="s">
        <v>29</v>
      </c>
      <c r="E560" s="7" t="str">
        <f t="shared" si="8"/>
        <v/>
      </c>
      <c r="F560" s="6" t="s">
        <v>29</v>
      </c>
      <c r="G560" s="6" t="s">
        <v>29</v>
      </c>
      <c r="H560" s="8" t="str">
        <f>IF(A560="","",Bibliotheques!$B$5&amp;IF(RIGHT(Bibliotheques!$B$5,1)="/","","/")&amp;SUBSTITUTE(A560," ","%20"))</f>
        <v/>
      </c>
      <c r="I560" s="6" t="s">
        <v>29</v>
      </c>
      <c r="J560" s="6" t="s">
        <v>29</v>
      </c>
    </row>
    <row r="561" spans="1:10" ht="33.950000000000003" customHeight="1">
      <c r="A561" s="6" t="s">
        <v>29</v>
      </c>
      <c r="B561" s="6" t="s">
        <v>29</v>
      </c>
      <c r="C561" s="7" t="str">
        <f>IF(A561="","",IFERROR(IF(VLOOKUP(B561,Bibliotheques!$A$10:$B$59,2,FALSE)=0,"Nom manquant",VLOOKUP(B561,Bibliotheques!$A$10:$B$59,2,FALSE)),"Clé inconnue"))</f>
        <v/>
      </c>
      <c r="D561" s="6" t="s">
        <v>29</v>
      </c>
      <c r="E561" s="7" t="str">
        <f t="shared" si="8"/>
        <v/>
      </c>
      <c r="F561" s="6" t="s">
        <v>29</v>
      </c>
      <c r="G561" s="6" t="s">
        <v>29</v>
      </c>
      <c r="H561" s="8" t="str">
        <f>IF(A561="","",Bibliotheques!$B$5&amp;IF(RIGHT(Bibliotheques!$B$5,1)="/","","/")&amp;SUBSTITUTE(A561," ","%20"))</f>
        <v/>
      </c>
      <c r="I561" s="6" t="s">
        <v>29</v>
      </c>
      <c r="J561" s="6" t="s">
        <v>29</v>
      </c>
    </row>
    <row r="562" spans="1:10" ht="33.950000000000003" customHeight="1">
      <c r="A562" s="6" t="s">
        <v>29</v>
      </c>
      <c r="B562" s="6" t="s">
        <v>29</v>
      </c>
      <c r="C562" s="7" t="str">
        <f>IF(A562="","",IFERROR(IF(VLOOKUP(B562,Bibliotheques!$A$10:$B$59,2,FALSE)=0,"Nom manquant",VLOOKUP(B562,Bibliotheques!$A$10:$B$59,2,FALSE)),"Clé inconnue"))</f>
        <v/>
      </c>
      <c r="D562" s="6" t="s">
        <v>29</v>
      </c>
      <c r="E562" s="7" t="str">
        <f t="shared" si="8"/>
        <v/>
      </c>
      <c r="F562" s="6" t="s">
        <v>29</v>
      </c>
      <c r="G562" s="6" t="s">
        <v>29</v>
      </c>
      <c r="H562" s="8" t="str">
        <f>IF(A562="","",Bibliotheques!$B$5&amp;IF(RIGHT(Bibliotheques!$B$5,1)="/","","/")&amp;SUBSTITUTE(A562," ","%20"))</f>
        <v/>
      </c>
      <c r="I562" s="6" t="s">
        <v>29</v>
      </c>
      <c r="J562" s="6" t="s">
        <v>29</v>
      </c>
    </row>
    <row r="563" spans="1:10" ht="33.950000000000003" customHeight="1">
      <c r="A563" s="6" t="s">
        <v>29</v>
      </c>
      <c r="B563" s="6" t="s">
        <v>29</v>
      </c>
      <c r="C563" s="7" t="str">
        <f>IF(A563="","",IFERROR(IF(VLOOKUP(B563,Bibliotheques!$A$10:$B$59,2,FALSE)=0,"Nom manquant",VLOOKUP(B563,Bibliotheques!$A$10:$B$59,2,FALSE)),"Clé inconnue"))</f>
        <v/>
      </c>
      <c r="D563" s="6" t="s">
        <v>29</v>
      </c>
      <c r="E563" s="7" t="str">
        <f t="shared" si="8"/>
        <v/>
      </c>
      <c r="F563" s="6" t="s">
        <v>29</v>
      </c>
      <c r="G563" s="6" t="s">
        <v>29</v>
      </c>
      <c r="H563" s="8" t="str">
        <f>IF(A563="","",Bibliotheques!$B$5&amp;IF(RIGHT(Bibliotheques!$B$5,1)="/","","/")&amp;SUBSTITUTE(A563," ","%20"))</f>
        <v/>
      </c>
      <c r="I563" s="6" t="s">
        <v>29</v>
      </c>
      <c r="J563" s="6" t="s">
        <v>29</v>
      </c>
    </row>
    <row r="564" spans="1:10" ht="33.950000000000003" customHeight="1">
      <c r="A564" s="6" t="s">
        <v>29</v>
      </c>
      <c r="B564" s="6" t="s">
        <v>29</v>
      </c>
      <c r="C564" s="7" t="str">
        <f>IF(A564="","",IFERROR(IF(VLOOKUP(B564,Bibliotheques!$A$10:$B$59,2,FALSE)=0,"Nom manquant",VLOOKUP(B564,Bibliotheques!$A$10:$B$59,2,FALSE)),"Clé inconnue"))</f>
        <v/>
      </c>
      <c r="D564" s="6" t="s">
        <v>29</v>
      </c>
      <c r="E564" s="7" t="str">
        <f t="shared" si="8"/>
        <v/>
      </c>
      <c r="F564" s="6" t="s">
        <v>29</v>
      </c>
      <c r="G564" s="6" t="s">
        <v>29</v>
      </c>
      <c r="H564" s="8" t="str">
        <f>IF(A564="","",Bibliotheques!$B$5&amp;IF(RIGHT(Bibliotheques!$B$5,1)="/","","/")&amp;SUBSTITUTE(A564," ","%20"))</f>
        <v/>
      </c>
      <c r="I564" s="6" t="s">
        <v>29</v>
      </c>
      <c r="J564" s="6" t="s">
        <v>29</v>
      </c>
    </row>
    <row r="565" spans="1:10" ht="33.950000000000003" customHeight="1">
      <c r="A565" s="6" t="s">
        <v>29</v>
      </c>
      <c r="B565" s="6" t="s">
        <v>29</v>
      </c>
      <c r="C565" s="7" t="str">
        <f>IF(A565="","",IFERROR(IF(VLOOKUP(B565,Bibliotheques!$A$10:$B$59,2,FALSE)=0,"Nom manquant",VLOOKUP(B565,Bibliotheques!$A$10:$B$59,2,FALSE)),"Clé inconnue"))</f>
        <v/>
      </c>
      <c r="D565" s="6" t="s">
        <v>29</v>
      </c>
      <c r="E565" s="7" t="str">
        <f t="shared" si="8"/>
        <v/>
      </c>
      <c r="F565" s="6" t="s">
        <v>29</v>
      </c>
      <c r="G565" s="6" t="s">
        <v>29</v>
      </c>
      <c r="H565" s="8" t="str">
        <f>IF(A565="","",Bibliotheques!$B$5&amp;IF(RIGHT(Bibliotheques!$B$5,1)="/","","/")&amp;SUBSTITUTE(A565," ","%20"))</f>
        <v/>
      </c>
      <c r="I565" s="6" t="s">
        <v>29</v>
      </c>
      <c r="J565" s="6" t="s">
        <v>29</v>
      </c>
    </row>
    <row r="566" spans="1:10" ht="33.950000000000003" customHeight="1">
      <c r="A566" s="6" t="s">
        <v>29</v>
      </c>
      <c r="B566" s="6" t="s">
        <v>29</v>
      </c>
      <c r="C566" s="7" t="str">
        <f>IF(A566="","",IFERROR(IF(VLOOKUP(B566,Bibliotheques!$A$10:$B$59,2,FALSE)=0,"Nom manquant",VLOOKUP(B566,Bibliotheques!$A$10:$B$59,2,FALSE)),"Clé inconnue"))</f>
        <v/>
      </c>
      <c r="D566" s="6" t="s">
        <v>29</v>
      </c>
      <c r="E566" s="7" t="str">
        <f t="shared" si="8"/>
        <v/>
      </c>
      <c r="F566" s="6" t="s">
        <v>29</v>
      </c>
      <c r="G566" s="6" t="s">
        <v>29</v>
      </c>
      <c r="H566" s="8" t="str">
        <f>IF(A566="","",Bibliotheques!$B$5&amp;IF(RIGHT(Bibliotheques!$B$5,1)="/","","/")&amp;SUBSTITUTE(A566," ","%20"))</f>
        <v/>
      </c>
      <c r="I566" s="6" t="s">
        <v>29</v>
      </c>
      <c r="J566" s="6" t="s">
        <v>29</v>
      </c>
    </row>
    <row r="567" spans="1:10" ht="33.950000000000003" customHeight="1">
      <c r="A567" s="6" t="s">
        <v>29</v>
      </c>
      <c r="B567" s="6" t="s">
        <v>29</v>
      </c>
      <c r="C567" s="7" t="str">
        <f>IF(A567="","",IFERROR(IF(VLOOKUP(B567,Bibliotheques!$A$10:$B$59,2,FALSE)=0,"Nom manquant",VLOOKUP(B567,Bibliotheques!$A$10:$B$59,2,FALSE)),"Clé inconnue"))</f>
        <v/>
      </c>
      <c r="D567" s="6" t="s">
        <v>29</v>
      </c>
      <c r="E567" s="7" t="str">
        <f t="shared" si="8"/>
        <v/>
      </c>
      <c r="F567" s="6" t="s">
        <v>29</v>
      </c>
      <c r="G567" s="6" t="s">
        <v>29</v>
      </c>
      <c r="H567" s="8" t="str">
        <f>IF(A567="","",Bibliotheques!$B$5&amp;IF(RIGHT(Bibliotheques!$B$5,1)="/","","/")&amp;SUBSTITUTE(A567," ","%20"))</f>
        <v/>
      </c>
      <c r="I567" s="6" t="s">
        <v>29</v>
      </c>
      <c r="J567" s="6" t="s">
        <v>29</v>
      </c>
    </row>
    <row r="568" spans="1:10" ht="33.950000000000003" customHeight="1">
      <c r="A568" s="6" t="s">
        <v>29</v>
      </c>
      <c r="B568" s="6" t="s">
        <v>29</v>
      </c>
      <c r="C568" s="7" t="str">
        <f>IF(A568="","",IFERROR(IF(VLOOKUP(B568,Bibliotheques!$A$10:$B$59,2,FALSE)=0,"Nom manquant",VLOOKUP(B568,Bibliotheques!$A$10:$B$59,2,FALSE)),"Clé inconnue"))</f>
        <v/>
      </c>
      <c r="D568" s="6" t="s">
        <v>29</v>
      </c>
      <c r="E568" s="7" t="str">
        <f t="shared" si="8"/>
        <v/>
      </c>
      <c r="F568" s="6" t="s">
        <v>29</v>
      </c>
      <c r="G568" s="6" t="s">
        <v>29</v>
      </c>
      <c r="H568" s="8" t="str">
        <f>IF(A568="","",Bibliotheques!$B$5&amp;IF(RIGHT(Bibliotheques!$B$5,1)="/","","/")&amp;SUBSTITUTE(A568," ","%20"))</f>
        <v/>
      </c>
      <c r="I568" s="6" t="s">
        <v>29</v>
      </c>
      <c r="J568" s="6" t="s">
        <v>29</v>
      </c>
    </row>
    <row r="569" spans="1:10" ht="33.950000000000003" customHeight="1">
      <c r="A569" s="6" t="s">
        <v>29</v>
      </c>
      <c r="B569" s="6" t="s">
        <v>29</v>
      </c>
      <c r="C569" s="7" t="str">
        <f>IF(A569="","",IFERROR(IF(VLOOKUP(B569,Bibliotheques!$A$10:$B$59,2,FALSE)=0,"Nom manquant",VLOOKUP(B569,Bibliotheques!$A$10:$B$59,2,FALSE)),"Clé inconnue"))</f>
        <v/>
      </c>
      <c r="D569" s="6" t="s">
        <v>29</v>
      </c>
      <c r="E569" s="7" t="str">
        <f t="shared" si="8"/>
        <v/>
      </c>
      <c r="F569" s="6" t="s">
        <v>29</v>
      </c>
      <c r="G569" s="6" t="s">
        <v>29</v>
      </c>
      <c r="H569" s="8" t="str">
        <f>IF(A569="","",Bibliotheques!$B$5&amp;IF(RIGHT(Bibliotheques!$B$5,1)="/","","/")&amp;SUBSTITUTE(A569," ","%20"))</f>
        <v/>
      </c>
      <c r="I569" s="6" t="s">
        <v>29</v>
      </c>
      <c r="J569" s="6" t="s">
        <v>29</v>
      </c>
    </row>
    <row r="570" spans="1:10" ht="33.950000000000003" customHeight="1">
      <c r="A570" s="6" t="s">
        <v>29</v>
      </c>
      <c r="B570" s="6" t="s">
        <v>29</v>
      </c>
      <c r="C570" s="7" t="str">
        <f>IF(A570="","",IFERROR(IF(VLOOKUP(B570,Bibliotheques!$A$10:$B$59,2,FALSE)=0,"Nom manquant",VLOOKUP(B570,Bibliotheques!$A$10:$B$59,2,FALSE)),"Clé inconnue"))</f>
        <v/>
      </c>
      <c r="D570" s="6" t="s">
        <v>29</v>
      </c>
      <c r="E570" s="7" t="str">
        <f t="shared" si="8"/>
        <v/>
      </c>
      <c r="F570" s="6" t="s">
        <v>29</v>
      </c>
      <c r="G570" s="6" t="s">
        <v>29</v>
      </c>
      <c r="H570" s="8" t="str">
        <f>IF(A570="","",Bibliotheques!$B$5&amp;IF(RIGHT(Bibliotheques!$B$5,1)="/","","/")&amp;SUBSTITUTE(A570," ","%20"))</f>
        <v/>
      </c>
      <c r="I570" s="6" t="s">
        <v>29</v>
      </c>
      <c r="J570" s="6" t="s">
        <v>29</v>
      </c>
    </row>
    <row r="571" spans="1:10" ht="33.950000000000003" customHeight="1">
      <c r="A571" s="6" t="s">
        <v>29</v>
      </c>
      <c r="B571" s="6" t="s">
        <v>29</v>
      </c>
      <c r="C571" s="7" t="str">
        <f>IF(A571="","",IFERROR(IF(VLOOKUP(B571,Bibliotheques!$A$10:$B$59,2,FALSE)=0,"Nom manquant",VLOOKUP(B571,Bibliotheques!$A$10:$B$59,2,FALSE)),"Clé inconnue"))</f>
        <v/>
      </c>
      <c r="D571" s="6" t="s">
        <v>29</v>
      </c>
      <c r="E571" s="7" t="str">
        <f t="shared" si="8"/>
        <v/>
      </c>
      <c r="F571" s="6" t="s">
        <v>29</v>
      </c>
      <c r="G571" s="6" t="s">
        <v>29</v>
      </c>
      <c r="H571" s="8" t="str">
        <f>IF(A571="","",Bibliotheques!$B$5&amp;IF(RIGHT(Bibliotheques!$B$5,1)="/","","/")&amp;SUBSTITUTE(A571," ","%20"))</f>
        <v/>
      </c>
      <c r="I571" s="6" t="s">
        <v>29</v>
      </c>
      <c r="J571" s="6" t="s">
        <v>29</v>
      </c>
    </row>
    <row r="572" spans="1:10" ht="33.950000000000003" customHeight="1">
      <c r="A572" s="6" t="s">
        <v>29</v>
      </c>
      <c r="B572" s="6" t="s">
        <v>29</v>
      </c>
      <c r="C572" s="7" t="str">
        <f>IF(A572="","",IFERROR(IF(VLOOKUP(B572,Bibliotheques!$A$10:$B$59,2,FALSE)=0,"Nom manquant",VLOOKUP(B572,Bibliotheques!$A$10:$B$59,2,FALSE)),"Clé inconnue"))</f>
        <v/>
      </c>
      <c r="D572" s="6" t="s">
        <v>29</v>
      </c>
      <c r="E572" s="7" t="str">
        <f t="shared" si="8"/>
        <v/>
      </c>
      <c r="F572" s="6" t="s">
        <v>29</v>
      </c>
      <c r="G572" s="6" t="s">
        <v>29</v>
      </c>
      <c r="H572" s="8" t="str">
        <f>IF(A572="","",Bibliotheques!$B$5&amp;IF(RIGHT(Bibliotheques!$B$5,1)="/","","/")&amp;SUBSTITUTE(A572," ","%20"))</f>
        <v/>
      </c>
      <c r="I572" s="6" t="s">
        <v>29</v>
      </c>
      <c r="J572" s="6" t="s">
        <v>29</v>
      </c>
    </row>
    <row r="573" spans="1:10" ht="33.950000000000003" customHeight="1">
      <c r="A573" s="6" t="s">
        <v>29</v>
      </c>
      <c r="B573" s="6" t="s">
        <v>29</v>
      </c>
      <c r="C573" s="7" t="str">
        <f>IF(A573="","",IFERROR(IF(VLOOKUP(B573,Bibliotheques!$A$10:$B$59,2,FALSE)=0,"Nom manquant",VLOOKUP(B573,Bibliotheques!$A$10:$B$59,2,FALSE)),"Clé inconnue"))</f>
        <v/>
      </c>
      <c r="D573" s="6" t="s">
        <v>29</v>
      </c>
      <c r="E573" s="7" t="str">
        <f t="shared" si="8"/>
        <v/>
      </c>
      <c r="F573" s="6" t="s">
        <v>29</v>
      </c>
      <c r="G573" s="6" t="s">
        <v>29</v>
      </c>
      <c r="H573" s="8" t="str">
        <f>IF(A573="","",Bibliotheques!$B$5&amp;IF(RIGHT(Bibliotheques!$B$5,1)="/","","/")&amp;SUBSTITUTE(A573," ","%20"))</f>
        <v/>
      </c>
      <c r="I573" s="6" t="s">
        <v>29</v>
      </c>
      <c r="J573" s="6" t="s">
        <v>29</v>
      </c>
    </row>
    <row r="574" spans="1:10" ht="33.950000000000003" customHeight="1">
      <c r="A574" s="6" t="s">
        <v>29</v>
      </c>
      <c r="B574" s="6" t="s">
        <v>29</v>
      </c>
      <c r="C574" s="7" t="str">
        <f>IF(A574="","",IFERROR(IF(VLOOKUP(B574,Bibliotheques!$A$10:$B$59,2,FALSE)=0,"Nom manquant",VLOOKUP(B574,Bibliotheques!$A$10:$B$59,2,FALSE)),"Clé inconnue"))</f>
        <v/>
      </c>
      <c r="D574" s="6" t="s">
        <v>29</v>
      </c>
      <c r="E574" s="7" t="str">
        <f t="shared" si="8"/>
        <v/>
      </c>
      <c r="F574" s="6" t="s">
        <v>29</v>
      </c>
      <c r="G574" s="6" t="s">
        <v>29</v>
      </c>
      <c r="H574" s="8" t="str">
        <f>IF(A574="","",Bibliotheques!$B$5&amp;IF(RIGHT(Bibliotheques!$B$5,1)="/","","/")&amp;SUBSTITUTE(A574," ","%20"))</f>
        <v/>
      </c>
      <c r="I574" s="6" t="s">
        <v>29</v>
      </c>
      <c r="J574" s="6" t="s">
        <v>29</v>
      </c>
    </row>
    <row r="575" spans="1:10" ht="33.950000000000003" customHeight="1">
      <c r="A575" s="6" t="s">
        <v>29</v>
      </c>
      <c r="B575" s="6" t="s">
        <v>29</v>
      </c>
      <c r="C575" s="7" t="str">
        <f>IF(A575="","",IFERROR(IF(VLOOKUP(B575,Bibliotheques!$A$10:$B$59,2,FALSE)=0,"Nom manquant",VLOOKUP(B575,Bibliotheques!$A$10:$B$59,2,FALSE)),"Clé inconnue"))</f>
        <v/>
      </c>
      <c r="D575" s="6" t="s">
        <v>29</v>
      </c>
      <c r="E575" s="7" t="str">
        <f t="shared" si="8"/>
        <v/>
      </c>
      <c r="F575" s="6" t="s">
        <v>29</v>
      </c>
      <c r="G575" s="6" t="s">
        <v>29</v>
      </c>
      <c r="H575" s="8" t="str">
        <f>IF(A575="","",Bibliotheques!$B$5&amp;IF(RIGHT(Bibliotheques!$B$5,1)="/","","/")&amp;SUBSTITUTE(A575," ","%20"))</f>
        <v/>
      </c>
      <c r="I575" s="6" t="s">
        <v>29</v>
      </c>
      <c r="J575" s="6" t="s">
        <v>29</v>
      </c>
    </row>
    <row r="576" spans="1:10" ht="33.950000000000003" customHeight="1">
      <c r="A576" s="6" t="s">
        <v>29</v>
      </c>
      <c r="B576" s="6" t="s">
        <v>29</v>
      </c>
      <c r="C576" s="7" t="str">
        <f>IF(A576="","",IFERROR(IF(VLOOKUP(B576,Bibliotheques!$A$10:$B$59,2,FALSE)=0,"Nom manquant",VLOOKUP(B576,Bibliotheques!$A$10:$B$59,2,FALSE)),"Clé inconnue"))</f>
        <v/>
      </c>
      <c r="D576" s="6" t="s">
        <v>29</v>
      </c>
      <c r="E576" s="7" t="str">
        <f t="shared" si="8"/>
        <v/>
      </c>
      <c r="F576" s="6" t="s">
        <v>29</v>
      </c>
      <c r="G576" s="6" t="s">
        <v>29</v>
      </c>
      <c r="H576" s="8" t="str">
        <f>IF(A576="","",Bibliotheques!$B$5&amp;IF(RIGHT(Bibliotheques!$B$5,1)="/","","/")&amp;SUBSTITUTE(A576," ","%20"))</f>
        <v/>
      </c>
      <c r="I576" s="6" t="s">
        <v>29</v>
      </c>
      <c r="J576" s="6" t="s">
        <v>29</v>
      </c>
    </row>
    <row r="577" spans="1:10" ht="33.950000000000003" customHeight="1">
      <c r="A577" s="6" t="s">
        <v>29</v>
      </c>
      <c r="B577" s="6" t="s">
        <v>29</v>
      </c>
      <c r="C577" s="7" t="str">
        <f>IF(A577="","",IFERROR(IF(VLOOKUP(B577,Bibliotheques!$A$10:$B$59,2,FALSE)=0,"Nom manquant",VLOOKUP(B577,Bibliotheques!$A$10:$B$59,2,FALSE)),"Clé inconnue"))</f>
        <v/>
      </c>
      <c r="D577" s="6" t="s">
        <v>29</v>
      </c>
      <c r="E577" s="7" t="str">
        <f t="shared" si="8"/>
        <v/>
      </c>
      <c r="F577" s="6" t="s">
        <v>29</v>
      </c>
      <c r="G577" s="6" t="s">
        <v>29</v>
      </c>
      <c r="H577" s="8" t="str">
        <f>IF(A577="","",Bibliotheques!$B$5&amp;IF(RIGHT(Bibliotheques!$B$5,1)="/","","/")&amp;SUBSTITUTE(A577," ","%20"))</f>
        <v/>
      </c>
      <c r="I577" s="6" t="s">
        <v>29</v>
      </c>
      <c r="J577" s="6" t="s">
        <v>29</v>
      </c>
    </row>
    <row r="578" spans="1:10" ht="33.950000000000003" customHeight="1">
      <c r="A578" s="6" t="s">
        <v>29</v>
      </c>
      <c r="B578" s="6" t="s">
        <v>29</v>
      </c>
      <c r="C578" s="7" t="str">
        <f>IF(A578="","",IFERROR(IF(VLOOKUP(B578,Bibliotheques!$A$10:$B$59,2,FALSE)=0,"Nom manquant",VLOOKUP(B578,Bibliotheques!$A$10:$B$59,2,FALSE)),"Clé inconnue"))</f>
        <v/>
      </c>
      <c r="D578" s="6" t="s">
        <v>29</v>
      </c>
      <c r="E578" s="7" t="str">
        <f t="shared" si="8"/>
        <v/>
      </c>
      <c r="F578" s="6" t="s">
        <v>29</v>
      </c>
      <c r="G578" s="6" t="s">
        <v>29</v>
      </c>
      <c r="H578" s="8" t="str">
        <f>IF(A578="","",Bibliotheques!$B$5&amp;IF(RIGHT(Bibliotheques!$B$5,1)="/","","/")&amp;SUBSTITUTE(A578," ","%20"))</f>
        <v/>
      </c>
      <c r="I578" s="6" t="s">
        <v>29</v>
      </c>
      <c r="J578" s="6" t="s">
        <v>29</v>
      </c>
    </row>
    <row r="579" spans="1:10" ht="33.950000000000003" customHeight="1">
      <c r="A579" s="6" t="s">
        <v>29</v>
      </c>
      <c r="B579" s="6" t="s">
        <v>29</v>
      </c>
      <c r="C579" s="7" t="str">
        <f>IF(A579="","",IFERROR(IF(VLOOKUP(B579,Bibliotheques!$A$10:$B$59,2,FALSE)=0,"Nom manquant",VLOOKUP(B579,Bibliotheques!$A$10:$B$59,2,FALSE)),"Clé inconnue"))</f>
        <v/>
      </c>
      <c r="D579" s="6" t="s">
        <v>29</v>
      </c>
      <c r="E579" s="7" t="str">
        <f t="shared" si="8"/>
        <v/>
      </c>
      <c r="F579" s="6" t="s">
        <v>29</v>
      </c>
      <c r="G579" s="6" t="s">
        <v>29</v>
      </c>
      <c r="H579" s="8" t="str">
        <f>IF(A579="","",Bibliotheques!$B$5&amp;IF(RIGHT(Bibliotheques!$B$5,1)="/","","/")&amp;SUBSTITUTE(A579," ","%20"))</f>
        <v/>
      </c>
      <c r="I579" s="6" t="s">
        <v>29</v>
      </c>
      <c r="J579" s="6" t="s">
        <v>29</v>
      </c>
    </row>
    <row r="580" spans="1:10" ht="33.950000000000003" customHeight="1">
      <c r="A580" s="6" t="s">
        <v>29</v>
      </c>
      <c r="B580" s="6" t="s">
        <v>29</v>
      </c>
      <c r="C580" s="7" t="str">
        <f>IF(A580="","",IFERROR(IF(VLOOKUP(B580,Bibliotheques!$A$10:$B$59,2,FALSE)=0,"Nom manquant",VLOOKUP(B580,Bibliotheques!$A$10:$B$59,2,FALSE)),"Clé inconnue"))</f>
        <v/>
      </c>
      <c r="D580" s="6" t="s">
        <v>29</v>
      </c>
      <c r="E580" s="7" t="str">
        <f t="shared" si="8"/>
        <v/>
      </c>
      <c r="F580" s="6" t="s">
        <v>29</v>
      </c>
      <c r="G580" s="6" t="s">
        <v>29</v>
      </c>
      <c r="H580" s="8" t="str">
        <f>IF(A580="","",Bibliotheques!$B$5&amp;IF(RIGHT(Bibliotheques!$B$5,1)="/","","/")&amp;SUBSTITUTE(A580," ","%20"))</f>
        <v/>
      </c>
      <c r="I580" s="6" t="s">
        <v>29</v>
      </c>
      <c r="J580" s="6" t="s">
        <v>29</v>
      </c>
    </row>
    <row r="581" spans="1:10" ht="33.950000000000003" customHeight="1">
      <c r="A581" s="6" t="s">
        <v>29</v>
      </c>
      <c r="B581" s="6" t="s">
        <v>29</v>
      </c>
      <c r="C581" s="7" t="str">
        <f>IF(A581="","",IFERROR(IF(VLOOKUP(B581,Bibliotheques!$A$10:$B$59,2,FALSE)=0,"Nom manquant",VLOOKUP(B581,Bibliotheques!$A$10:$B$59,2,FALSE)),"Clé inconnue"))</f>
        <v/>
      </c>
      <c r="D581" s="6" t="s">
        <v>29</v>
      </c>
      <c r="E581" s="7" t="str">
        <f t="shared" si="8"/>
        <v/>
      </c>
      <c r="F581" s="6" t="s">
        <v>29</v>
      </c>
      <c r="G581" s="6" t="s">
        <v>29</v>
      </c>
      <c r="H581" s="8" t="str">
        <f>IF(A581="","",Bibliotheques!$B$5&amp;IF(RIGHT(Bibliotheques!$B$5,1)="/","","/")&amp;SUBSTITUTE(A581," ","%20"))</f>
        <v/>
      </c>
      <c r="I581" s="6" t="s">
        <v>29</v>
      </c>
      <c r="J581" s="6" t="s">
        <v>29</v>
      </c>
    </row>
    <row r="582" spans="1:10" ht="33.950000000000003" customHeight="1">
      <c r="A582" s="6" t="s">
        <v>29</v>
      </c>
      <c r="B582" s="6" t="s">
        <v>29</v>
      </c>
      <c r="C582" s="7" t="str">
        <f>IF(A582="","",IFERROR(IF(VLOOKUP(B582,Bibliotheques!$A$10:$B$59,2,FALSE)=0,"Nom manquant",VLOOKUP(B582,Bibliotheques!$A$10:$B$59,2,FALSE)),"Clé inconnue"))</f>
        <v/>
      </c>
      <c r="D582" s="6" t="s">
        <v>29</v>
      </c>
      <c r="E582" s="7" t="str">
        <f t="shared" ref="E582:E645" si="9">IF(A582="","",LOWER(B582&amp;"-"&amp;SUBSTITUTE(SUBSTITUTE(SUBSTITUTE(LOWER(A582),".svg","")," ","-"),"/","-")))</f>
        <v/>
      </c>
      <c r="F582" s="6" t="s">
        <v>29</v>
      </c>
      <c r="G582" s="6" t="s">
        <v>29</v>
      </c>
      <c r="H582" s="8" t="str">
        <f>IF(A582="","",Bibliotheques!$B$5&amp;IF(RIGHT(Bibliotheques!$B$5,1)="/","","/")&amp;SUBSTITUTE(A582," ","%20"))</f>
        <v/>
      </c>
      <c r="I582" s="6" t="s">
        <v>29</v>
      </c>
      <c r="J582" s="6" t="s">
        <v>29</v>
      </c>
    </row>
    <row r="583" spans="1:10" ht="33.950000000000003" customHeight="1">
      <c r="A583" s="6" t="s">
        <v>29</v>
      </c>
      <c r="B583" s="6" t="s">
        <v>29</v>
      </c>
      <c r="C583" s="7" t="str">
        <f>IF(A583="","",IFERROR(IF(VLOOKUP(B583,Bibliotheques!$A$10:$B$59,2,FALSE)=0,"Nom manquant",VLOOKUP(B583,Bibliotheques!$A$10:$B$59,2,FALSE)),"Clé inconnue"))</f>
        <v/>
      </c>
      <c r="D583" s="6" t="s">
        <v>29</v>
      </c>
      <c r="E583" s="7" t="str">
        <f t="shared" si="9"/>
        <v/>
      </c>
      <c r="F583" s="6" t="s">
        <v>29</v>
      </c>
      <c r="G583" s="6" t="s">
        <v>29</v>
      </c>
      <c r="H583" s="8" t="str">
        <f>IF(A583="","",Bibliotheques!$B$5&amp;IF(RIGHT(Bibliotheques!$B$5,1)="/","","/")&amp;SUBSTITUTE(A583," ","%20"))</f>
        <v/>
      </c>
      <c r="I583" s="6" t="s">
        <v>29</v>
      </c>
      <c r="J583" s="6" t="s">
        <v>29</v>
      </c>
    </row>
    <row r="584" spans="1:10" ht="33.950000000000003" customHeight="1">
      <c r="A584" s="6" t="s">
        <v>29</v>
      </c>
      <c r="B584" s="6" t="s">
        <v>29</v>
      </c>
      <c r="C584" s="7" t="str">
        <f>IF(A584="","",IFERROR(IF(VLOOKUP(B584,Bibliotheques!$A$10:$B$59,2,FALSE)=0,"Nom manquant",VLOOKUP(B584,Bibliotheques!$A$10:$B$59,2,FALSE)),"Clé inconnue"))</f>
        <v/>
      </c>
      <c r="D584" s="6" t="s">
        <v>29</v>
      </c>
      <c r="E584" s="7" t="str">
        <f t="shared" si="9"/>
        <v/>
      </c>
      <c r="F584" s="6" t="s">
        <v>29</v>
      </c>
      <c r="G584" s="6" t="s">
        <v>29</v>
      </c>
      <c r="H584" s="8" t="str">
        <f>IF(A584="","",Bibliotheques!$B$5&amp;IF(RIGHT(Bibliotheques!$B$5,1)="/","","/")&amp;SUBSTITUTE(A584," ","%20"))</f>
        <v/>
      </c>
      <c r="I584" s="6" t="s">
        <v>29</v>
      </c>
      <c r="J584" s="6" t="s">
        <v>29</v>
      </c>
    </row>
    <row r="585" spans="1:10" ht="33.950000000000003" customHeight="1">
      <c r="A585" s="6" t="s">
        <v>29</v>
      </c>
      <c r="B585" s="6" t="s">
        <v>29</v>
      </c>
      <c r="C585" s="7" t="str">
        <f>IF(A585="","",IFERROR(IF(VLOOKUP(B585,Bibliotheques!$A$10:$B$59,2,FALSE)=0,"Nom manquant",VLOOKUP(B585,Bibliotheques!$A$10:$B$59,2,FALSE)),"Clé inconnue"))</f>
        <v/>
      </c>
      <c r="D585" s="6" t="s">
        <v>29</v>
      </c>
      <c r="E585" s="7" t="str">
        <f t="shared" si="9"/>
        <v/>
      </c>
      <c r="F585" s="6" t="s">
        <v>29</v>
      </c>
      <c r="G585" s="6" t="s">
        <v>29</v>
      </c>
      <c r="H585" s="8" t="str">
        <f>IF(A585="","",Bibliotheques!$B$5&amp;IF(RIGHT(Bibliotheques!$B$5,1)="/","","/")&amp;SUBSTITUTE(A585," ","%20"))</f>
        <v/>
      </c>
      <c r="I585" s="6" t="s">
        <v>29</v>
      </c>
      <c r="J585" s="6" t="s">
        <v>29</v>
      </c>
    </row>
    <row r="586" spans="1:10" ht="33.950000000000003" customHeight="1">
      <c r="A586" s="6" t="s">
        <v>29</v>
      </c>
      <c r="B586" s="6" t="s">
        <v>29</v>
      </c>
      <c r="C586" s="7" t="str">
        <f>IF(A586="","",IFERROR(IF(VLOOKUP(B586,Bibliotheques!$A$10:$B$59,2,FALSE)=0,"Nom manquant",VLOOKUP(B586,Bibliotheques!$A$10:$B$59,2,FALSE)),"Clé inconnue"))</f>
        <v/>
      </c>
      <c r="D586" s="6" t="s">
        <v>29</v>
      </c>
      <c r="E586" s="7" t="str">
        <f t="shared" si="9"/>
        <v/>
      </c>
      <c r="F586" s="6" t="s">
        <v>29</v>
      </c>
      <c r="G586" s="6" t="s">
        <v>29</v>
      </c>
      <c r="H586" s="8" t="str">
        <f>IF(A586="","",Bibliotheques!$B$5&amp;IF(RIGHT(Bibliotheques!$B$5,1)="/","","/")&amp;SUBSTITUTE(A586," ","%20"))</f>
        <v/>
      </c>
      <c r="I586" s="6" t="s">
        <v>29</v>
      </c>
      <c r="J586" s="6" t="s">
        <v>29</v>
      </c>
    </row>
    <row r="587" spans="1:10" ht="33.950000000000003" customHeight="1">
      <c r="A587" s="6" t="s">
        <v>29</v>
      </c>
      <c r="B587" s="6" t="s">
        <v>29</v>
      </c>
      <c r="C587" s="7" t="str">
        <f>IF(A587="","",IFERROR(IF(VLOOKUP(B587,Bibliotheques!$A$10:$B$59,2,FALSE)=0,"Nom manquant",VLOOKUP(B587,Bibliotheques!$A$10:$B$59,2,FALSE)),"Clé inconnue"))</f>
        <v/>
      </c>
      <c r="D587" s="6" t="s">
        <v>29</v>
      </c>
      <c r="E587" s="7" t="str">
        <f t="shared" si="9"/>
        <v/>
      </c>
      <c r="F587" s="6" t="s">
        <v>29</v>
      </c>
      <c r="G587" s="6" t="s">
        <v>29</v>
      </c>
      <c r="H587" s="8" t="str">
        <f>IF(A587="","",Bibliotheques!$B$5&amp;IF(RIGHT(Bibliotheques!$B$5,1)="/","","/")&amp;SUBSTITUTE(A587," ","%20"))</f>
        <v/>
      </c>
      <c r="I587" s="6" t="s">
        <v>29</v>
      </c>
      <c r="J587" s="6" t="s">
        <v>29</v>
      </c>
    </row>
    <row r="588" spans="1:10" ht="33.950000000000003" customHeight="1">
      <c r="A588" s="6" t="s">
        <v>29</v>
      </c>
      <c r="B588" s="6" t="s">
        <v>29</v>
      </c>
      <c r="C588" s="7" t="str">
        <f>IF(A588="","",IFERROR(IF(VLOOKUP(B588,Bibliotheques!$A$10:$B$59,2,FALSE)=0,"Nom manquant",VLOOKUP(B588,Bibliotheques!$A$10:$B$59,2,FALSE)),"Clé inconnue"))</f>
        <v/>
      </c>
      <c r="D588" s="6" t="s">
        <v>29</v>
      </c>
      <c r="E588" s="7" t="str">
        <f t="shared" si="9"/>
        <v/>
      </c>
      <c r="F588" s="6" t="s">
        <v>29</v>
      </c>
      <c r="G588" s="6" t="s">
        <v>29</v>
      </c>
      <c r="H588" s="8" t="str">
        <f>IF(A588="","",Bibliotheques!$B$5&amp;IF(RIGHT(Bibliotheques!$B$5,1)="/","","/")&amp;SUBSTITUTE(A588," ","%20"))</f>
        <v/>
      </c>
      <c r="I588" s="6" t="s">
        <v>29</v>
      </c>
      <c r="J588" s="6" t="s">
        <v>29</v>
      </c>
    </row>
    <row r="589" spans="1:10" ht="33.950000000000003" customHeight="1">
      <c r="A589" s="6" t="s">
        <v>29</v>
      </c>
      <c r="B589" s="6" t="s">
        <v>29</v>
      </c>
      <c r="C589" s="7" t="str">
        <f>IF(A589="","",IFERROR(IF(VLOOKUP(B589,Bibliotheques!$A$10:$B$59,2,FALSE)=0,"Nom manquant",VLOOKUP(B589,Bibliotheques!$A$10:$B$59,2,FALSE)),"Clé inconnue"))</f>
        <v/>
      </c>
      <c r="D589" s="6" t="s">
        <v>29</v>
      </c>
      <c r="E589" s="7" t="str">
        <f t="shared" si="9"/>
        <v/>
      </c>
      <c r="F589" s="6" t="s">
        <v>29</v>
      </c>
      <c r="G589" s="6" t="s">
        <v>29</v>
      </c>
      <c r="H589" s="8" t="str">
        <f>IF(A589="","",Bibliotheques!$B$5&amp;IF(RIGHT(Bibliotheques!$B$5,1)="/","","/")&amp;SUBSTITUTE(A589," ","%20"))</f>
        <v/>
      </c>
      <c r="I589" s="6" t="s">
        <v>29</v>
      </c>
      <c r="J589" s="6" t="s">
        <v>29</v>
      </c>
    </row>
    <row r="590" spans="1:10" ht="33.950000000000003" customHeight="1">
      <c r="A590" s="6" t="s">
        <v>29</v>
      </c>
      <c r="B590" s="6" t="s">
        <v>29</v>
      </c>
      <c r="C590" s="7" t="str">
        <f>IF(A590="","",IFERROR(IF(VLOOKUP(B590,Bibliotheques!$A$10:$B$59,2,FALSE)=0,"Nom manquant",VLOOKUP(B590,Bibliotheques!$A$10:$B$59,2,FALSE)),"Clé inconnue"))</f>
        <v/>
      </c>
      <c r="D590" s="6" t="s">
        <v>29</v>
      </c>
      <c r="E590" s="7" t="str">
        <f t="shared" si="9"/>
        <v/>
      </c>
      <c r="F590" s="6" t="s">
        <v>29</v>
      </c>
      <c r="G590" s="6" t="s">
        <v>29</v>
      </c>
      <c r="H590" s="8" t="str">
        <f>IF(A590="","",Bibliotheques!$B$5&amp;IF(RIGHT(Bibliotheques!$B$5,1)="/","","/")&amp;SUBSTITUTE(A590," ","%20"))</f>
        <v/>
      </c>
      <c r="I590" s="6" t="s">
        <v>29</v>
      </c>
      <c r="J590" s="6" t="s">
        <v>29</v>
      </c>
    </row>
    <row r="591" spans="1:10" ht="33.950000000000003" customHeight="1">
      <c r="A591" s="6" t="s">
        <v>29</v>
      </c>
      <c r="B591" s="6" t="s">
        <v>29</v>
      </c>
      <c r="C591" s="7" t="str">
        <f>IF(A591="","",IFERROR(IF(VLOOKUP(B591,Bibliotheques!$A$10:$B$59,2,FALSE)=0,"Nom manquant",VLOOKUP(B591,Bibliotheques!$A$10:$B$59,2,FALSE)),"Clé inconnue"))</f>
        <v/>
      </c>
      <c r="D591" s="6" t="s">
        <v>29</v>
      </c>
      <c r="E591" s="7" t="str">
        <f t="shared" si="9"/>
        <v/>
      </c>
      <c r="F591" s="6" t="s">
        <v>29</v>
      </c>
      <c r="G591" s="6" t="s">
        <v>29</v>
      </c>
      <c r="H591" s="8" t="str">
        <f>IF(A591="","",Bibliotheques!$B$5&amp;IF(RIGHT(Bibliotheques!$B$5,1)="/","","/")&amp;SUBSTITUTE(A591," ","%20"))</f>
        <v/>
      </c>
      <c r="I591" s="6" t="s">
        <v>29</v>
      </c>
      <c r="J591" s="6" t="s">
        <v>29</v>
      </c>
    </row>
    <row r="592" spans="1:10" ht="33.950000000000003" customHeight="1">
      <c r="A592" s="6" t="s">
        <v>29</v>
      </c>
      <c r="B592" s="6" t="s">
        <v>29</v>
      </c>
      <c r="C592" s="7" t="str">
        <f>IF(A592="","",IFERROR(IF(VLOOKUP(B592,Bibliotheques!$A$10:$B$59,2,FALSE)=0,"Nom manquant",VLOOKUP(B592,Bibliotheques!$A$10:$B$59,2,FALSE)),"Clé inconnue"))</f>
        <v/>
      </c>
      <c r="D592" s="6" t="s">
        <v>29</v>
      </c>
      <c r="E592" s="7" t="str">
        <f t="shared" si="9"/>
        <v/>
      </c>
      <c r="F592" s="6" t="s">
        <v>29</v>
      </c>
      <c r="G592" s="6" t="s">
        <v>29</v>
      </c>
      <c r="H592" s="8" t="str">
        <f>IF(A592="","",Bibliotheques!$B$5&amp;IF(RIGHT(Bibliotheques!$B$5,1)="/","","/")&amp;SUBSTITUTE(A592," ","%20"))</f>
        <v/>
      </c>
      <c r="I592" s="6" t="s">
        <v>29</v>
      </c>
      <c r="J592" s="6" t="s">
        <v>29</v>
      </c>
    </row>
    <row r="593" spans="1:10" ht="33.950000000000003" customHeight="1">
      <c r="A593" s="6" t="s">
        <v>29</v>
      </c>
      <c r="B593" s="6" t="s">
        <v>29</v>
      </c>
      <c r="C593" s="7" t="str">
        <f>IF(A593="","",IFERROR(IF(VLOOKUP(B593,Bibliotheques!$A$10:$B$59,2,FALSE)=0,"Nom manquant",VLOOKUP(B593,Bibliotheques!$A$10:$B$59,2,FALSE)),"Clé inconnue"))</f>
        <v/>
      </c>
      <c r="D593" s="6" t="s">
        <v>29</v>
      </c>
      <c r="E593" s="7" t="str">
        <f t="shared" si="9"/>
        <v/>
      </c>
      <c r="F593" s="6" t="s">
        <v>29</v>
      </c>
      <c r="G593" s="6" t="s">
        <v>29</v>
      </c>
      <c r="H593" s="8" t="str">
        <f>IF(A593="","",Bibliotheques!$B$5&amp;IF(RIGHT(Bibliotheques!$B$5,1)="/","","/")&amp;SUBSTITUTE(A593," ","%20"))</f>
        <v/>
      </c>
      <c r="I593" s="6" t="s">
        <v>29</v>
      </c>
      <c r="J593" s="6" t="s">
        <v>29</v>
      </c>
    </row>
    <row r="594" spans="1:10" ht="33.950000000000003" customHeight="1">
      <c r="A594" s="6" t="s">
        <v>29</v>
      </c>
      <c r="B594" s="6" t="s">
        <v>29</v>
      </c>
      <c r="C594" s="7" t="str">
        <f>IF(A594="","",IFERROR(IF(VLOOKUP(B594,Bibliotheques!$A$10:$B$59,2,FALSE)=0,"Nom manquant",VLOOKUP(B594,Bibliotheques!$A$10:$B$59,2,FALSE)),"Clé inconnue"))</f>
        <v/>
      </c>
      <c r="D594" s="6" t="s">
        <v>29</v>
      </c>
      <c r="E594" s="7" t="str">
        <f t="shared" si="9"/>
        <v/>
      </c>
      <c r="F594" s="6" t="s">
        <v>29</v>
      </c>
      <c r="G594" s="6" t="s">
        <v>29</v>
      </c>
      <c r="H594" s="8" t="str">
        <f>IF(A594="","",Bibliotheques!$B$5&amp;IF(RIGHT(Bibliotheques!$B$5,1)="/","","/")&amp;SUBSTITUTE(A594," ","%20"))</f>
        <v/>
      </c>
      <c r="I594" s="6" t="s">
        <v>29</v>
      </c>
      <c r="J594" s="6" t="s">
        <v>29</v>
      </c>
    </row>
    <row r="595" spans="1:10" ht="33.950000000000003" customHeight="1">
      <c r="A595" s="6" t="s">
        <v>29</v>
      </c>
      <c r="B595" s="6" t="s">
        <v>29</v>
      </c>
      <c r="C595" s="7" t="str">
        <f>IF(A595="","",IFERROR(IF(VLOOKUP(B595,Bibliotheques!$A$10:$B$59,2,FALSE)=0,"Nom manquant",VLOOKUP(B595,Bibliotheques!$A$10:$B$59,2,FALSE)),"Clé inconnue"))</f>
        <v/>
      </c>
      <c r="D595" s="6" t="s">
        <v>29</v>
      </c>
      <c r="E595" s="7" t="str">
        <f t="shared" si="9"/>
        <v/>
      </c>
      <c r="F595" s="6" t="s">
        <v>29</v>
      </c>
      <c r="G595" s="6" t="s">
        <v>29</v>
      </c>
      <c r="H595" s="8" t="str">
        <f>IF(A595="","",Bibliotheques!$B$5&amp;IF(RIGHT(Bibliotheques!$B$5,1)="/","","/")&amp;SUBSTITUTE(A595," ","%20"))</f>
        <v/>
      </c>
      <c r="I595" s="6" t="s">
        <v>29</v>
      </c>
      <c r="J595" s="6" t="s">
        <v>29</v>
      </c>
    </row>
    <row r="596" spans="1:10" ht="33.950000000000003" customHeight="1">
      <c r="A596" s="6" t="s">
        <v>29</v>
      </c>
      <c r="B596" s="6" t="s">
        <v>29</v>
      </c>
      <c r="C596" s="7" t="str">
        <f>IF(A596="","",IFERROR(IF(VLOOKUP(B596,Bibliotheques!$A$10:$B$59,2,FALSE)=0,"Nom manquant",VLOOKUP(B596,Bibliotheques!$A$10:$B$59,2,FALSE)),"Clé inconnue"))</f>
        <v/>
      </c>
      <c r="D596" s="6" t="s">
        <v>29</v>
      </c>
      <c r="E596" s="7" t="str">
        <f t="shared" si="9"/>
        <v/>
      </c>
      <c r="F596" s="6" t="s">
        <v>29</v>
      </c>
      <c r="G596" s="6" t="s">
        <v>29</v>
      </c>
      <c r="H596" s="8" t="str">
        <f>IF(A596="","",Bibliotheques!$B$5&amp;IF(RIGHT(Bibliotheques!$B$5,1)="/","","/")&amp;SUBSTITUTE(A596," ","%20"))</f>
        <v/>
      </c>
      <c r="I596" s="6" t="s">
        <v>29</v>
      </c>
      <c r="J596" s="6" t="s">
        <v>29</v>
      </c>
    </row>
    <row r="597" spans="1:10" ht="33.950000000000003" customHeight="1">
      <c r="A597" s="6" t="s">
        <v>29</v>
      </c>
      <c r="B597" s="6" t="s">
        <v>29</v>
      </c>
      <c r="C597" s="7" t="str">
        <f>IF(A597="","",IFERROR(IF(VLOOKUP(B597,Bibliotheques!$A$10:$B$59,2,FALSE)=0,"Nom manquant",VLOOKUP(B597,Bibliotheques!$A$10:$B$59,2,FALSE)),"Clé inconnue"))</f>
        <v/>
      </c>
      <c r="D597" s="6" t="s">
        <v>29</v>
      </c>
      <c r="E597" s="7" t="str">
        <f t="shared" si="9"/>
        <v/>
      </c>
      <c r="F597" s="6" t="s">
        <v>29</v>
      </c>
      <c r="G597" s="6" t="s">
        <v>29</v>
      </c>
      <c r="H597" s="8" t="str">
        <f>IF(A597="","",Bibliotheques!$B$5&amp;IF(RIGHT(Bibliotheques!$B$5,1)="/","","/")&amp;SUBSTITUTE(A597," ","%20"))</f>
        <v/>
      </c>
      <c r="I597" s="6" t="s">
        <v>29</v>
      </c>
      <c r="J597" s="6" t="s">
        <v>29</v>
      </c>
    </row>
    <row r="598" spans="1:10" ht="33.950000000000003" customHeight="1">
      <c r="A598" s="6" t="s">
        <v>29</v>
      </c>
      <c r="B598" s="6" t="s">
        <v>29</v>
      </c>
      <c r="C598" s="7" t="str">
        <f>IF(A598="","",IFERROR(IF(VLOOKUP(B598,Bibliotheques!$A$10:$B$59,2,FALSE)=0,"Nom manquant",VLOOKUP(B598,Bibliotheques!$A$10:$B$59,2,FALSE)),"Clé inconnue"))</f>
        <v/>
      </c>
      <c r="D598" s="6" t="s">
        <v>29</v>
      </c>
      <c r="E598" s="7" t="str">
        <f t="shared" si="9"/>
        <v/>
      </c>
      <c r="F598" s="6" t="s">
        <v>29</v>
      </c>
      <c r="G598" s="6" t="s">
        <v>29</v>
      </c>
      <c r="H598" s="8" t="str">
        <f>IF(A598="","",Bibliotheques!$B$5&amp;IF(RIGHT(Bibliotheques!$B$5,1)="/","","/")&amp;SUBSTITUTE(A598," ","%20"))</f>
        <v/>
      </c>
      <c r="I598" s="6" t="s">
        <v>29</v>
      </c>
      <c r="J598" s="6" t="s">
        <v>29</v>
      </c>
    </row>
    <row r="599" spans="1:10" ht="33.950000000000003" customHeight="1">
      <c r="A599" s="6" t="s">
        <v>29</v>
      </c>
      <c r="B599" s="6" t="s">
        <v>29</v>
      </c>
      <c r="C599" s="7" t="str">
        <f>IF(A599="","",IFERROR(IF(VLOOKUP(B599,Bibliotheques!$A$10:$B$59,2,FALSE)=0,"Nom manquant",VLOOKUP(B599,Bibliotheques!$A$10:$B$59,2,FALSE)),"Clé inconnue"))</f>
        <v/>
      </c>
      <c r="D599" s="6" t="s">
        <v>29</v>
      </c>
      <c r="E599" s="7" t="str">
        <f t="shared" si="9"/>
        <v/>
      </c>
      <c r="F599" s="6" t="s">
        <v>29</v>
      </c>
      <c r="G599" s="6" t="s">
        <v>29</v>
      </c>
      <c r="H599" s="8" t="str">
        <f>IF(A599="","",Bibliotheques!$B$5&amp;IF(RIGHT(Bibliotheques!$B$5,1)="/","","/")&amp;SUBSTITUTE(A599," ","%20"))</f>
        <v/>
      </c>
      <c r="I599" s="6" t="s">
        <v>29</v>
      </c>
      <c r="J599" s="6" t="s">
        <v>29</v>
      </c>
    </row>
    <row r="600" spans="1:10" ht="33.950000000000003" customHeight="1">
      <c r="A600" s="6" t="s">
        <v>29</v>
      </c>
      <c r="B600" s="6" t="s">
        <v>29</v>
      </c>
      <c r="C600" s="7" t="str">
        <f>IF(A600="","",IFERROR(IF(VLOOKUP(B600,Bibliotheques!$A$10:$B$59,2,FALSE)=0,"Nom manquant",VLOOKUP(B600,Bibliotheques!$A$10:$B$59,2,FALSE)),"Clé inconnue"))</f>
        <v/>
      </c>
      <c r="D600" s="6" t="s">
        <v>29</v>
      </c>
      <c r="E600" s="7" t="str">
        <f t="shared" si="9"/>
        <v/>
      </c>
      <c r="F600" s="6" t="s">
        <v>29</v>
      </c>
      <c r="G600" s="6" t="s">
        <v>29</v>
      </c>
      <c r="H600" s="8" t="str">
        <f>IF(A600="","",Bibliotheques!$B$5&amp;IF(RIGHT(Bibliotheques!$B$5,1)="/","","/")&amp;SUBSTITUTE(A600," ","%20"))</f>
        <v/>
      </c>
      <c r="I600" s="6" t="s">
        <v>29</v>
      </c>
      <c r="J600" s="6" t="s">
        <v>29</v>
      </c>
    </row>
    <row r="601" spans="1:10" ht="33.950000000000003" customHeight="1">
      <c r="A601" s="6" t="s">
        <v>29</v>
      </c>
      <c r="B601" s="6" t="s">
        <v>29</v>
      </c>
      <c r="C601" s="7" t="str">
        <f>IF(A601="","",IFERROR(IF(VLOOKUP(B601,Bibliotheques!$A$10:$B$59,2,FALSE)=0,"Nom manquant",VLOOKUP(B601,Bibliotheques!$A$10:$B$59,2,FALSE)),"Clé inconnue"))</f>
        <v/>
      </c>
      <c r="D601" s="6" t="s">
        <v>29</v>
      </c>
      <c r="E601" s="7" t="str">
        <f t="shared" si="9"/>
        <v/>
      </c>
      <c r="F601" s="6" t="s">
        <v>29</v>
      </c>
      <c r="G601" s="6" t="s">
        <v>29</v>
      </c>
      <c r="H601" s="8" t="str">
        <f>IF(A601="","",Bibliotheques!$B$5&amp;IF(RIGHT(Bibliotheques!$B$5,1)="/","","/")&amp;SUBSTITUTE(A601," ","%20"))</f>
        <v/>
      </c>
      <c r="I601" s="6" t="s">
        <v>29</v>
      </c>
      <c r="J601" s="6" t="s">
        <v>29</v>
      </c>
    </row>
    <row r="602" spans="1:10" ht="33.950000000000003" customHeight="1">
      <c r="A602" s="6" t="s">
        <v>29</v>
      </c>
      <c r="B602" s="6" t="s">
        <v>29</v>
      </c>
      <c r="C602" s="7" t="str">
        <f>IF(A602="","",IFERROR(IF(VLOOKUP(B602,Bibliotheques!$A$10:$B$59,2,FALSE)=0,"Nom manquant",VLOOKUP(B602,Bibliotheques!$A$10:$B$59,2,FALSE)),"Clé inconnue"))</f>
        <v/>
      </c>
      <c r="D602" s="6" t="s">
        <v>29</v>
      </c>
      <c r="E602" s="7" t="str">
        <f t="shared" si="9"/>
        <v/>
      </c>
      <c r="F602" s="6" t="s">
        <v>29</v>
      </c>
      <c r="G602" s="6" t="s">
        <v>29</v>
      </c>
      <c r="H602" s="8" t="str">
        <f>IF(A602="","",Bibliotheques!$B$5&amp;IF(RIGHT(Bibliotheques!$B$5,1)="/","","/")&amp;SUBSTITUTE(A602," ","%20"))</f>
        <v/>
      </c>
      <c r="I602" s="6" t="s">
        <v>29</v>
      </c>
      <c r="J602" s="6" t="s">
        <v>29</v>
      </c>
    </row>
    <row r="603" spans="1:10" ht="33.950000000000003" customHeight="1">
      <c r="A603" s="6" t="s">
        <v>29</v>
      </c>
      <c r="B603" s="6" t="s">
        <v>29</v>
      </c>
      <c r="C603" s="7" t="str">
        <f>IF(A603="","",IFERROR(IF(VLOOKUP(B603,Bibliotheques!$A$10:$B$59,2,FALSE)=0,"Nom manquant",VLOOKUP(B603,Bibliotheques!$A$10:$B$59,2,FALSE)),"Clé inconnue"))</f>
        <v/>
      </c>
      <c r="D603" s="6" t="s">
        <v>29</v>
      </c>
      <c r="E603" s="7" t="str">
        <f t="shared" si="9"/>
        <v/>
      </c>
      <c r="F603" s="6" t="s">
        <v>29</v>
      </c>
      <c r="G603" s="6" t="s">
        <v>29</v>
      </c>
      <c r="H603" s="8" t="str">
        <f>IF(A603="","",Bibliotheques!$B$5&amp;IF(RIGHT(Bibliotheques!$B$5,1)="/","","/")&amp;SUBSTITUTE(A603," ","%20"))</f>
        <v/>
      </c>
      <c r="I603" s="6" t="s">
        <v>29</v>
      </c>
      <c r="J603" s="6" t="s">
        <v>29</v>
      </c>
    </row>
    <row r="604" spans="1:10" ht="33.950000000000003" customHeight="1">
      <c r="A604" s="6" t="s">
        <v>29</v>
      </c>
      <c r="B604" s="6" t="s">
        <v>29</v>
      </c>
      <c r="C604" s="7" t="str">
        <f>IF(A604="","",IFERROR(IF(VLOOKUP(B604,Bibliotheques!$A$10:$B$59,2,FALSE)=0,"Nom manquant",VLOOKUP(B604,Bibliotheques!$A$10:$B$59,2,FALSE)),"Clé inconnue"))</f>
        <v/>
      </c>
      <c r="D604" s="6" t="s">
        <v>29</v>
      </c>
      <c r="E604" s="7" t="str">
        <f t="shared" si="9"/>
        <v/>
      </c>
      <c r="F604" s="6" t="s">
        <v>29</v>
      </c>
      <c r="G604" s="6" t="s">
        <v>29</v>
      </c>
      <c r="H604" s="8" t="str">
        <f>IF(A604="","",Bibliotheques!$B$5&amp;IF(RIGHT(Bibliotheques!$B$5,1)="/","","/")&amp;SUBSTITUTE(A604," ","%20"))</f>
        <v/>
      </c>
      <c r="I604" s="6" t="s">
        <v>29</v>
      </c>
      <c r="J604" s="6" t="s">
        <v>29</v>
      </c>
    </row>
    <row r="605" spans="1:10" ht="33.950000000000003" customHeight="1">
      <c r="A605" s="6" t="s">
        <v>29</v>
      </c>
      <c r="B605" s="6" t="s">
        <v>29</v>
      </c>
      <c r="C605" s="7" t="str">
        <f>IF(A605="","",IFERROR(IF(VLOOKUP(B605,Bibliotheques!$A$10:$B$59,2,FALSE)=0,"Nom manquant",VLOOKUP(B605,Bibliotheques!$A$10:$B$59,2,FALSE)),"Clé inconnue"))</f>
        <v/>
      </c>
      <c r="D605" s="6" t="s">
        <v>29</v>
      </c>
      <c r="E605" s="7" t="str">
        <f t="shared" si="9"/>
        <v/>
      </c>
      <c r="F605" s="6" t="s">
        <v>29</v>
      </c>
      <c r="G605" s="6" t="s">
        <v>29</v>
      </c>
      <c r="H605" s="8" t="str">
        <f>IF(A605="","",Bibliotheques!$B$5&amp;IF(RIGHT(Bibliotheques!$B$5,1)="/","","/")&amp;SUBSTITUTE(A605," ","%20"))</f>
        <v/>
      </c>
      <c r="I605" s="6" t="s">
        <v>29</v>
      </c>
      <c r="J605" s="6" t="s">
        <v>29</v>
      </c>
    </row>
    <row r="606" spans="1:10" ht="33.950000000000003" customHeight="1">
      <c r="A606" s="6" t="s">
        <v>29</v>
      </c>
      <c r="B606" s="6" t="s">
        <v>29</v>
      </c>
      <c r="C606" s="7" t="str">
        <f>IF(A606="","",IFERROR(IF(VLOOKUP(B606,Bibliotheques!$A$10:$B$59,2,FALSE)=0,"Nom manquant",VLOOKUP(B606,Bibliotheques!$A$10:$B$59,2,FALSE)),"Clé inconnue"))</f>
        <v/>
      </c>
      <c r="D606" s="6" t="s">
        <v>29</v>
      </c>
      <c r="E606" s="7" t="str">
        <f t="shared" si="9"/>
        <v/>
      </c>
      <c r="F606" s="6" t="s">
        <v>29</v>
      </c>
      <c r="G606" s="6" t="s">
        <v>29</v>
      </c>
      <c r="H606" s="8" t="str">
        <f>IF(A606="","",Bibliotheques!$B$5&amp;IF(RIGHT(Bibliotheques!$B$5,1)="/","","/")&amp;SUBSTITUTE(A606," ","%20"))</f>
        <v/>
      </c>
      <c r="I606" s="6" t="s">
        <v>29</v>
      </c>
      <c r="J606" s="6" t="s">
        <v>29</v>
      </c>
    </row>
    <row r="607" spans="1:10" ht="33.950000000000003" customHeight="1">
      <c r="A607" s="6" t="s">
        <v>29</v>
      </c>
      <c r="B607" s="6" t="s">
        <v>29</v>
      </c>
      <c r="C607" s="7" t="str">
        <f>IF(A607="","",IFERROR(IF(VLOOKUP(B607,Bibliotheques!$A$10:$B$59,2,FALSE)=0,"Nom manquant",VLOOKUP(B607,Bibliotheques!$A$10:$B$59,2,FALSE)),"Clé inconnue"))</f>
        <v/>
      </c>
      <c r="D607" s="6" t="s">
        <v>29</v>
      </c>
      <c r="E607" s="7" t="str">
        <f t="shared" si="9"/>
        <v/>
      </c>
      <c r="F607" s="6" t="s">
        <v>29</v>
      </c>
      <c r="G607" s="6" t="s">
        <v>29</v>
      </c>
      <c r="H607" s="8" t="str">
        <f>IF(A607="","",Bibliotheques!$B$5&amp;IF(RIGHT(Bibliotheques!$B$5,1)="/","","/")&amp;SUBSTITUTE(A607," ","%20"))</f>
        <v/>
      </c>
      <c r="I607" s="6" t="s">
        <v>29</v>
      </c>
      <c r="J607" s="6" t="s">
        <v>29</v>
      </c>
    </row>
    <row r="608" spans="1:10" ht="33.950000000000003" customHeight="1">
      <c r="A608" s="6" t="s">
        <v>29</v>
      </c>
      <c r="B608" s="6" t="s">
        <v>29</v>
      </c>
      <c r="C608" s="7" t="str">
        <f>IF(A608="","",IFERROR(IF(VLOOKUP(B608,Bibliotheques!$A$10:$B$59,2,FALSE)=0,"Nom manquant",VLOOKUP(B608,Bibliotheques!$A$10:$B$59,2,FALSE)),"Clé inconnue"))</f>
        <v/>
      </c>
      <c r="D608" s="6" t="s">
        <v>29</v>
      </c>
      <c r="E608" s="7" t="str">
        <f t="shared" si="9"/>
        <v/>
      </c>
      <c r="F608" s="6" t="s">
        <v>29</v>
      </c>
      <c r="G608" s="6" t="s">
        <v>29</v>
      </c>
      <c r="H608" s="8" t="str">
        <f>IF(A608="","",Bibliotheques!$B$5&amp;IF(RIGHT(Bibliotheques!$B$5,1)="/","","/")&amp;SUBSTITUTE(A608," ","%20"))</f>
        <v/>
      </c>
      <c r="I608" s="6" t="s">
        <v>29</v>
      </c>
      <c r="J608" s="6" t="s">
        <v>29</v>
      </c>
    </row>
    <row r="609" spans="1:10" ht="33.950000000000003" customHeight="1">
      <c r="A609" s="6" t="s">
        <v>29</v>
      </c>
      <c r="B609" s="6" t="s">
        <v>29</v>
      </c>
      <c r="C609" s="7" t="str">
        <f>IF(A609="","",IFERROR(IF(VLOOKUP(B609,Bibliotheques!$A$10:$B$59,2,FALSE)=0,"Nom manquant",VLOOKUP(B609,Bibliotheques!$A$10:$B$59,2,FALSE)),"Clé inconnue"))</f>
        <v/>
      </c>
      <c r="D609" s="6" t="s">
        <v>29</v>
      </c>
      <c r="E609" s="7" t="str">
        <f t="shared" si="9"/>
        <v/>
      </c>
      <c r="F609" s="6" t="s">
        <v>29</v>
      </c>
      <c r="G609" s="6" t="s">
        <v>29</v>
      </c>
      <c r="H609" s="8" t="str">
        <f>IF(A609="","",Bibliotheques!$B$5&amp;IF(RIGHT(Bibliotheques!$B$5,1)="/","","/")&amp;SUBSTITUTE(A609," ","%20"))</f>
        <v/>
      </c>
      <c r="I609" s="6" t="s">
        <v>29</v>
      </c>
      <c r="J609" s="6" t="s">
        <v>29</v>
      </c>
    </row>
    <row r="610" spans="1:10" ht="33.950000000000003" customHeight="1">
      <c r="A610" s="6" t="s">
        <v>29</v>
      </c>
      <c r="B610" s="6" t="s">
        <v>29</v>
      </c>
      <c r="C610" s="7" t="str">
        <f>IF(A610="","",IFERROR(IF(VLOOKUP(B610,Bibliotheques!$A$10:$B$59,2,FALSE)=0,"Nom manquant",VLOOKUP(B610,Bibliotheques!$A$10:$B$59,2,FALSE)),"Clé inconnue"))</f>
        <v/>
      </c>
      <c r="D610" s="6" t="s">
        <v>29</v>
      </c>
      <c r="E610" s="7" t="str">
        <f t="shared" si="9"/>
        <v/>
      </c>
      <c r="F610" s="6" t="s">
        <v>29</v>
      </c>
      <c r="G610" s="6" t="s">
        <v>29</v>
      </c>
      <c r="H610" s="8" t="str">
        <f>IF(A610="","",Bibliotheques!$B$5&amp;IF(RIGHT(Bibliotheques!$B$5,1)="/","","/")&amp;SUBSTITUTE(A610," ","%20"))</f>
        <v/>
      </c>
      <c r="I610" s="6" t="s">
        <v>29</v>
      </c>
      <c r="J610" s="6" t="s">
        <v>29</v>
      </c>
    </row>
    <row r="611" spans="1:10" ht="33.950000000000003" customHeight="1">
      <c r="A611" s="6" t="s">
        <v>29</v>
      </c>
      <c r="B611" s="6" t="s">
        <v>29</v>
      </c>
      <c r="C611" s="7" t="str">
        <f>IF(A611="","",IFERROR(IF(VLOOKUP(B611,Bibliotheques!$A$10:$B$59,2,FALSE)=0,"Nom manquant",VLOOKUP(B611,Bibliotheques!$A$10:$B$59,2,FALSE)),"Clé inconnue"))</f>
        <v/>
      </c>
      <c r="D611" s="6" t="s">
        <v>29</v>
      </c>
      <c r="E611" s="7" t="str">
        <f t="shared" si="9"/>
        <v/>
      </c>
      <c r="F611" s="6" t="s">
        <v>29</v>
      </c>
      <c r="G611" s="6" t="s">
        <v>29</v>
      </c>
      <c r="H611" s="8" t="str">
        <f>IF(A611="","",Bibliotheques!$B$5&amp;IF(RIGHT(Bibliotheques!$B$5,1)="/","","/")&amp;SUBSTITUTE(A611," ","%20"))</f>
        <v/>
      </c>
      <c r="I611" s="6" t="s">
        <v>29</v>
      </c>
      <c r="J611" s="6" t="s">
        <v>29</v>
      </c>
    </row>
    <row r="612" spans="1:10" ht="33.950000000000003" customHeight="1">
      <c r="A612" s="6" t="s">
        <v>29</v>
      </c>
      <c r="B612" s="6" t="s">
        <v>29</v>
      </c>
      <c r="C612" s="7" t="str">
        <f>IF(A612="","",IFERROR(IF(VLOOKUP(B612,Bibliotheques!$A$10:$B$59,2,FALSE)=0,"Nom manquant",VLOOKUP(B612,Bibliotheques!$A$10:$B$59,2,FALSE)),"Clé inconnue"))</f>
        <v/>
      </c>
      <c r="D612" s="6" t="s">
        <v>29</v>
      </c>
      <c r="E612" s="7" t="str">
        <f t="shared" si="9"/>
        <v/>
      </c>
      <c r="F612" s="6" t="s">
        <v>29</v>
      </c>
      <c r="G612" s="6" t="s">
        <v>29</v>
      </c>
      <c r="H612" s="8" t="str">
        <f>IF(A612="","",Bibliotheques!$B$5&amp;IF(RIGHT(Bibliotheques!$B$5,1)="/","","/")&amp;SUBSTITUTE(A612," ","%20"))</f>
        <v/>
      </c>
      <c r="I612" s="6" t="s">
        <v>29</v>
      </c>
      <c r="J612" s="6" t="s">
        <v>29</v>
      </c>
    </row>
    <row r="613" spans="1:10" ht="33.950000000000003" customHeight="1">
      <c r="A613" s="6" t="s">
        <v>29</v>
      </c>
      <c r="B613" s="6" t="s">
        <v>29</v>
      </c>
      <c r="C613" s="7" t="str">
        <f>IF(A613="","",IFERROR(IF(VLOOKUP(B613,Bibliotheques!$A$10:$B$59,2,FALSE)=0,"Nom manquant",VLOOKUP(B613,Bibliotheques!$A$10:$B$59,2,FALSE)),"Clé inconnue"))</f>
        <v/>
      </c>
      <c r="D613" s="6" t="s">
        <v>29</v>
      </c>
      <c r="E613" s="7" t="str">
        <f t="shared" si="9"/>
        <v/>
      </c>
      <c r="F613" s="6" t="s">
        <v>29</v>
      </c>
      <c r="G613" s="6" t="s">
        <v>29</v>
      </c>
      <c r="H613" s="8" t="str">
        <f>IF(A613="","",Bibliotheques!$B$5&amp;IF(RIGHT(Bibliotheques!$B$5,1)="/","","/")&amp;SUBSTITUTE(A613," ","%20"))</f>
        <v/>
      </c>
      <c r="I613" s="6" t="s">
        <v>29</v>
      </c>
      <c r="J613" s="6" t="s">
        <v>29</v>
      </c>
    </row>
    <row r="614" spans="1:10" ht="33.950000000000003" customHeight="1">
      <c r="A614" s="6" t="s">
        <v>29</v>
      </c>
      <c r="B614" s="6" t="s">
        <v>29</v>
      </c>
      <c r="C614" s="7" t="str">
        <f>IF(A614="","",IFERROR(IF(VLOOKUP(B614,Bibliotheques!$A$10:$B$59,2,FALSE)=0,"Nom manquant",VLOOKUP(B614,Bibliotheques!$A$10:$B$59,2,FALSE)),"Clé inconnue"))</f>
        <v/>
      </c>
      <c r="D614" s="6" t="s">
        <v>29</v>
      </c>
      <c r="E614" s="7" t="str">
        <f t="shared" si="9"/>
        <v/>
      </c>
      <c r="F614" s="6" t="s">
        <v>29</v>
      </c>
      <c r="G614" s="6" t="s">
        <v>29</v>
      </c>
      <c r="H614" s="8" t="str">
        <f>IF(A614="","",Bibliotheques!$B$5&amp;IF(RIGHT(Bibliotheques!$B$5,1)="/","","/")&amp;SUBSTITUTE(A614," ","%20"))</f>
        <v/>
      </c>
      <c r="I614" s="6" t="s">
        <v>29</v>
      </c>
      <c r="J614" s="6" t="s">
        <v>29</v>
      </c>
    </row>
    <row r="615" spans="1:10" ht="33.950000000000003" customHeight="1">
      <c r="A615" s="6" t="s">
        <v>29</v>
      </c>
      <c r="B615" s="6" t="s">
        <v>29</v>
      </c>
      <c r="C615" s="7" t="str">
        <f>IF(A615="","",IFERROR(IF(VLOOKUP(B615,Bibliotheques!$A$10:$B$59,2,FALSE)=0,"Nom manquant",VLOOKUP(B615,Bibliotheques!$A$10:$B$59,2,FALSE)),"Clé inconnue"))</f>
        <v/>
      </c>
      <c r="D615" s="6" t="s">
        <v>29</v>
      </c>
      <c r="E615" s="7" t="str">
        <f t="shared" si="9"/>
        <v/>
      </c>
      <c r="F615" s="6" t="s">
        <v>29</v>
      </c>
      <c r="G615" s="6" t="s">
        <v>29</v>
      </c>
      <c r="H615" s="8" t="str">
        <f>IF(A615="","",Bibliotheques!$B$5&amp;IF(RIGHT(Bibliotheques!$B$5,1)="/","","/")&amp;SUBSTITUTE(A615," ","%20"))</f>
        <v/>
      </c>
      <c r="I615" s="6" t="s">
        <v>29</v>
      </c>
      <c r="J615" s="6" t="s">
        <v>29</v>
      </c>
    </row>
    <row r="616" spans="1:10" ht="33.950000000000003" customHeight="1">
      <c r="A616" s="6" t="s">
        <v>29</v>
      </c>
      <c r="B616" s="6" t="s">
        <v>29</v>
      </c>
      <c r="C616" s="7" t="str">
        <f>IF(A616="","",IFERROR(IF(VLOOKUP(B616,Bibliotheques!$A$10:$B$59,2,FALSE)=0,"Nom manquant",VLOOKUP(B616,Bibliotheques!$A$10:$B$59,2,FALSE)),"Clé inconnue"))</f>
        <v/>
      </c>
      <c r="D616" s="6" t="s">
        <v>29</v>
      </c>
      <c r="E616" s="7" t="str">
        <f t="shared" si="9"/>
        <v/>
      </c>
      <c r="F616" s="6" t="s">
        <v>29</v>
      </c>
      <c r="G616" s="6" t="s">
        <v>29</v>
      </c>
      <c r="H616" s="8" t="str">
        <f>IF(A616="","",Bibliotheques!$B$5&amp;IF(RIGHT(Bibliotheques!$B$5,1)="/","","/")&amp;SUBSTITUTE(A616," ","%20"))</f>
        <v/>
      </c>
      <c r="I616" s="6" t="s">
        <v>29</v>
      </c>
      <c r="J616" s="6" t="s">
        <v>29</v>
      </c>
    </row>
    <row r="617" spans="1:10" ht="33.950000000000003" customHeight="1">
      <c r="A617" s="6" t="s">
        <v>29</v>
      </c>
      <c r="B617" s="6" t="s">
        <v>29</v>
      </c>
      <c r="C617" s="7" t="str">
        <f>IF(A617="","",IFERROR(IF(VLOOKUP(B617,Bibliotheques!$A$10:$B$59,2,FALSE)=0,"Nom manquant",VLOOKUP(B617,Bibliotheques!$A$10:$B$59,2,FALSE)),"Clé inconnue"))</f>
        <v/>
      </c>
      <c r="D617" s="6" t="s">
        <v>29</v>
      </c>
      <c r="E617" s="7" t="str">
        <f t="shared" si="9"/>
        <v/>
      </c>
      <c r="F617" s="6" t="s">
        <v>29</v>
      </c>
      <c r="G617" s="6" t="s">
        <v>29</v>
      </c>
      <c r="H617" s="8" t="str">
        <f>IF(A617="","",Bibliotheques!$B$5&amp;IF(RIGHT(Bibliotheques!$B$5,1)="/","","/")&amp;SUBSTITUTE(A617," ","%20"))</f>
        <v/>
      </c>
      <c r="I617" s="6" t="s">
        <v>29</v>
      </c>
      <c r="J617" s="6" t="s">
        <v>29</v>
      </c>
    </row>
    <row r="618" spans="1:10" ht="33.950000000000003" customHeight="1">
      <c r="A618" s="6" t="s">
        <v>29</v>
      </c>
      <c r="B618" s="6" t="s">
        <v>29</v>
      </c>
      <c r="C618" s="7" t="str">
        <f>IF(A618="","",IFERROR(IF(VLOOKUP(B618,Bibliotheques!$A$10:$B$59,2,FALSE)=0,"Nom manquant",VLOOKUP(B618,Bibliotheques!$A$10:$B$59,2,FALSE)),"Clé inconnue"))</f>
        <v/>
      </c>
      <c r="D618" s="6" t="s">
        <v>29</v>
      </c>
      <c r="E618" s="7" t="str">
        <f t="shared" si="9"/>
        <v/>
      </c>
      <c r="F618" s="6" t="s">
        <v>29</v>
      </c>
      <c r="G618" s="6" t="s">
        <v>29</v>
      </c>
      <c r="H618" s="8" t="str">
        <f>IF(A618="","",Bibliotheques!$B$5&amp;IF(RIGHT(Bibliotheques!$B$5,1)="/","","/")&amp;SUBSTITUTE(A618," ","%20"))</f>
        <v/>
      </c>
      <c r="I618" s="6" t="s">
        <v>29</v>
      </c>
      <c r="J618" s="6" t="s">
        <v>29</v>
      </c>
    </row>
    <row r="619" spans="1:10" ht="33.950000000000003" customHeight="1">
      <c r="A619" s="6" t="s">
        <v>29</v>
      </c>
      <c r="B619" s="6" t="s">
        <v>29</v>
      </c>
      <c r="C619" s="7" t="str">
        <f>IF(A619="","",IFERROR(IF(VLOOKUP(B619,Bibliotheques!$A$10:$B$59,2,FALSE)=0,"Nom manquant",VLOOKUP(B619,Bibliotheques!$A$10:$B$59,2,FALSE)),"Clé inconnue"))</f>
        <v/>
      </c>
      <c r="D619" s="6" t="s">
        <v>29</v>
      </c>
      <c r="E619" s="7" t="str">
        <f t="shared" si="9"/>
        <v/>
      </c>
      <c r="F619" s="6" t="s">
        <v>29</v>
      </c>
      <c r="G619" s="6" t="s">
        <v>29</v>
      </c>
      <c r="H619" s="8" t="str">
        <f>IF(A619="","",Bibliotheques!$B$5&amp;IF(RIGHT(Bibliotheques!$B$5,1)="/","","/")&amp;SUBSTITUTE(A619," ","%20"))</f>
        <v/>
      </c>
      <c r="I619" s="6" t="s">
        <v>29</v>
      </c>
      <c r="J619" s="6" t="s">
        <v>29</v>
      </c>
    </row>
    <row r="620" spans="1:10" ht="33.950000000000003" customHeight="1">
      <c r="A620" s="6" t="s">
        <v>29</v>
      </c>
      <c r="B620" s="6" t="s">
        <v>29</v>
      </c>
      <c r="C620" s="7" t="str">
        <f>IF(A620="","",IFERROR(IF(VLOOKUP(B620,Bibliotheques!$A$10:$B$59,2,FALSE)=0,"Nom manquant",VLOOKUP(B620,Bibliotheques!$A$10:$B$59,2,FALSE)),"Clé inconnue"))</f>
        <v/>
      </c>
      <c r="D620" s="6" t="s">
        <v>29</v>
      </c>
      <c r="E620" s="7" t="str">
        <f t="shared" si="9"/>
        <v/>
      </c>
      <c r="F620" s="6" t="s">
        <v>29</v>
      </c>
      <c r="G620" s="6" t="s">
        <v>29</v>
      </c>
      <c r="H620" s="8" t="str">
        <f>IF(A620="","",Bibliotheques!$B$5&amp;IF(RIGHT(Bibliotheques!$B$5,1)="/","","/")&amp;SUBSTITUTE(A620," ","%20"))</f>
        <v/>
      </c>
      <c r="I620" s="6" t="s">
        <v>29</v>
      </c>
      <c r="J620" s="6" t="s">
        <v>29</v>
      </c>
    </row>
    <row r="621" spans="1:10" ht="33.950000000000003" customHeight="1">
      <c r="A621" s="6" t="s">
        <v>29</v>
      </c>
      <c r="B621" s="6" t="s">
        <v>29</v>
      </c>
      <c r="C621" s="7" t="str">
        <f>IF(A621="","",IFERROR(IF(VLOOKUP(B621,Bibliotheques!$A$10:$B$59,2,FALSE)=0,"Nom manquant",VLOOKUP(B621,Bibliotheques!$A$10:$B$59,2,FALSE)),"Clé inconnue"))</f>
        <v/>
      </c>
      <c r="D621" s="6" t="s">
        <v>29</v>
      </c>
      <c r="E621" s="7" t="str">
        <f t="shared" si="9"/>
        <v/>
      </c>
      <c r="F621" s="6" t="s">
        <v>29</v>
      </c>
      <c r="G621" s="6" t="s">
        <v>29</v>
      </c>
      <c r="H621" s="8" t="str">
        <f>IF(A621="","",Bibliotheques!$B$5&amp;IF(RIGHT(Bibliotheques!$B$5,1)="/","","/")&amp;SUBSTITUTE(A621," ","%20"))</f>
        <v/>
      </c>
      <c r="I621" s="6" t="s">
        <v>29</v>
      </c>
      <c r="J621" s="6" t="s">
        <v>29</v>
      </c>
    </row>
    <row r="622" spans="1:10" ht="33.950000000000003" customHeight="1">
      <c r="A622" s="6" t="s">
        <v>29</v>
      </c>
      <c r="B622" s="6" t="s">
        <v>29</v>
      </c>
      <c r="C622" s="7" t="str">
        <f>IF(A622="","",IFERROR(IF(VLOOKUP(B622,Bibliotheques!$A$10:$B$59,2,FALSE)=0,"Nom manquant",VLOOKUP(B622,Bibliotheques!$A$10:$B$59,2,FALSE)),"Clé inconnue"))</f>
        <v/>
      </c>
      <c r="D622" s="6" t="s">
        <v>29</v>
      </c>
      <c r="E622" s="7" t="str">
        <f t="shared" si="9"/>
        <v/>
      </c>
      <c r="F622" s="6" t="s">
        <v>29</v>
      </c>
      <c r="G622" s="6" t="s">
        <v>29</v>
      </c>
      <c r="H622" s="8" t="str">
        <f>IF(A622="","",Bibliotheques!$B$5&amp;IF(RIGHT(Bibliotheques!$B$5,1)="/","","/")&amp;SUBSTITUTE(A622," ","%20"))</f>
        <v/>
      </c>
      <c r="I622" s="6" t="s">
        <v>29</v>
      </c>
      <c r="J622" s="6" t="s">
        <v>29</v>
      </c>
    </row>
    <row r="623" spans="1:10" ht="33.950000000000003" customHeight="1">
      <c r="A623" s="6" t="s">
        <v>29</v>
      </c>
      <c r="B623" s="6" t="s">
        <v>29</v>
      </c>
      <c r="C623" s="7" t="str">
        <f>IF(A623="","",IFERROR(IF(VLOOKUP(B623,Bibliotheques!$A$10:$B$59,2,FALSE)=0,"Nom manquant",VLOOKUP(B623,Bibliotheques!$A$10:$B$59,2,FALSE)),"Clé inconnue"))</f>
        <v/>
      </c>
      <c r="D623" s="6" t="s">
        <v>29</v>
      </c>
      <c r="E623" s="7" t="str">
        <f t="shared" si="9"/>
        <v/>
      </c>
      <c r="F623" s="6" t="s">
        <v>29</v>
      </c>
      <c r="G623" s="6" t="s">
        <v>29</v>
      </c>
      <c r="H623" s="8" t="str">
        <f>IF(A623="","",Bibliotheques!$B$5&amp;IF(RIGHT(Bibliotheques!$B$5,1)="/","","/")&amp;SUBSTITUTE(A623," ","%20"))</f>
        <v/>
      </c>
      <c r="I623" s="6" t="s">
        <v>29</v>
      </c>
      <c r="J623" s="6" t="s">
        <v>29</v>
      </c>
    </row>
    <row r="624" spans="1:10" ht="33.950000000000003" customHeight="1">
      <c r="A624" s="6" t="s">
        <v>29</v>
      </c>
      <c r="B624" s="6" t="s">
        <v>29</v>
      </c>
      <c r="C624" s="7" t="str">
        <f>IF(A624="","",IFERROR(IF(VLOOKUP(B624,Bibliotheques!$A$10:$B$59,2,FALSE)=0,"Nom manquant",VLOOKUP(B624,Bibliotheques!$A$10:$B$59,2,FALSE)),"Clé inconnue"))</f>
        <v/>
      </c>
      <c r="D624" s="6" t="s">
        <v>29</v>
      </c>
      <c r="E624" s="7" t="str">
        <f t="shared" si="9"/>
        <v/>
      </c>
      <c r="F624" s="6" t="s">
        <v>29</v>
      </c>
      <c r="G624" s="6" t="s">
        <v>29</v>
      </c>
      <c r="H624" s="8" t="str">
        <f>IF(A624="","",Bibliotheques!$B$5&amp;IF(RIGHT(Bibliotheques!$B$5,1)="/","","/")&amp;SUBSTITUTE(A624," ","%20"))</f>
        <v/>
      </c>
      <c r="I624" s="6" t="s">
        <v>29</v>
      </c>
      <c r="J624" s="6" t="s">
        <v>29</v>
      </c>
    </row>
    <row r="625" spans="1:10" ht="33.950000000000003" customHeight="1">
      <c r="A625" s="6" t="s">
        <v>29</v>
      </c>
      <c r="B625" s="6" t="s">
        <v>29</v>
      </c>
      <c r="C625" s="7" t="str">
        <f>IF(A625="","",IFERROR(IF(VLOOKUP(B625,Bibliotheques!$A$10:$B$59,2,FALSE)=0,"Nom manquant",VLOOKUP(B625,Bibliotheques!$A$10:$B$59,2,FALSE)),"Clé inconnue"))</f>
        <v/>
      </c>
      <c r="D625" s="6" t="s">
        <v>29</v>
      </c>
      <c r="E625" s="7" t="str">
        <f t="shared" si="9"/>
        <v/>
      </c>
      <c r="F625" s="6" t="s">
        <v>29</v>
      </c>
      <c r="G625" s="6" t="s">
        <v>29</v>
      </c>
      <c r="H625" s="8" t="str">
        <f>IF(A625="","",Bibliotheques!$B$5&amp;IF(RIGHT(Bibliotheques!$B$5,1)="/","","/")&amp;SUBSTITUTE(A625," ","%20"))</f>
        <v/>
      </c>
      <c r="I625" s="6" t="s">
        <v>29</v>
      </c>
      <c r="J625" s="6" t="s">
        <v>29</v>
      </c>
    </row>
    <row r="626" spans="1:10" ht="33.950000000000003" customHeight="1">
      <c r="A626" s="6" t="s">
        <v>29</v>
      </c>
      <c r="B626" s="6" t="s">
        <v>29</v>
      </c>
      <c r="C626" s="7" t="str">
        <f>IF(A626="","",IFERROR(IF(VLOOKUP(B626,Bibliotheques!$A$10:$B$59,2,FALSE)=0,"Nom manquant",VLOOKUP(B626,Bibliotheques!$A$10:$B$59,2,FALSE)),"Clé inconnue"))</f>
        <v/>
      </c>
      <c r="D626" s="6" t="s">
        <v>29</v>
      </c>
      <c r="E626" s="7" t="str">
        <f t="shared" si="9"/>
        <v/>
      </c>
      <c r="F626" s="6" t="s">
        <v>29</v>
      </c>
      <c r="G626" s="6" t="s">
        <v>29</v>
      </c>
      <c r="H626" s="8" t="str">
        <f>IF(A626="","",Bibliotheques!$B$5&amp;IF(RIGHT(Bibliotheques!$B$5,1)="/","","/")&amp;SUBSTITUTE(A626," ","%20"))</f>
        <v/>
      </c>
      <c r="I626" s="6" t="s">
        <v>29</v>
      </c>
      <c r="J626" s="6" t="s">
        <v>29</v>
      </c>
    </row>
    <row r="627" spans="1:10" ht="33.950000000000003" customHeight="1">
      <c r="A627" s="6" t="s">
        <v>29</v>
      </c>
      <c r="B627" s="6" t="s">
        <v>29</v>
      </c>
      <c r="C627" s="7" t="str">
        <f>IF(A627="","",IFERROR(IF(VLOOKUP(B627,Bibliotheques!$A$10:$B$59,2,FALSE)=0,"Nom manquant",VLOOKUP(B627,Bibliotheques!$A$10:$B$59,2,FALSE)),"Clé inconnue"))</f>
        <v/>
      </c>
      <c r="D627" s="6" t="s">
        <v>29</v>
      </c>
      <c r="E627" s="7" t="str">
        <f t="shared" si="9"/>
        <v/>
      </c>
      <c r="F627" s="6" t="s">
        <v>29</v>
      </c>
      <c r="G627" s="6" t="s">
        <v>29</v>
      </c>
      <c r="H627" s="8" t="str">
        <f>IF(A627="","",Bibliotheques!$B$5&amp;IF(RIGHT(Bibliotheques!$B$5,1)="/","","/")&amp;SUBSTITUTE(A627," ","%20"))</f>
        <v/>
      </c>
      <c r="I627" s="6" t="s">
        <v>29</v>
      </c>
      <c r="J627" s="6" t="s">
        <v>29</v>
      </c>
    </row>
    <row r="628" spans="1:10" ht="33.950000000000003" customHeight="1">
      <c r="A628" s="6" t="s">
        <v>29</v>
      </c>
      <c r="B628" s="6" t="s">
        <v>29</v>
      </c>
      <c r="C628" s="7" t="str">
        <f>IF(A628="","",IFERROR(IF(VLOOKUP(B628,Bibliotheques!$A$10:$B$59,2,FALSE)=0,"Nom manquant",VLOOKUP(B628,Bibliotheques!$A$10:$B$59,2,FALSE)),"Clé inconnue"))</f>
        <v/>
      </c>
      <c r="D628" s="6" t="s">
        <v>29</v>
      </c>
      <c r="E628" s="7" t="str">
        <f t="shared" si="9"/>
        <v/>
      </c>
      <c r="F628" s="6" t="s">
        <v>29</v>
      </c>
      <c r="G628" s="6" t="s">
        <v>29</v>
      </c>
      <c r="H628" s="8" t="str">
        <f>IF(A628="","",Bibliotheques!$B$5&amp;IF(RIGHT(Bibliotheques!$B$5,1)="/","","/")&amp;SUBSTITUTE(A628," ","%20"))</f>
        <v/>
      </c>
      <c r="I628" s="6" t="s">
        <v>29</v>
      </c>
      <c r="J628" s="6" t="s">
        <v>29</v>
      </c>
    </row>
    <row r="629" spans="1:10" ht="33.950000000000003" customHeight="1">
      <c r="A629" s="6" t="s">
        <v>29</v>
      </c>
      <c r="B629" s="6" t="s">
        <v>29</v>
      </c>
      <c r="C629" s="7" t="str">
        <f>IF(A629="","",IFERROR(IF(VLOOKUP(B629,Bibliotheques!$A$10:$B$59,2,FALSE)=0,"Nom manquant",VLOOKUP(B629,Bibliotheques!$A$10:$B$59,2,FALSE)),"Clé inconnue"))</f>
        <v/>
      </c>
      <c r="D629" s="6" t="s">
        <v>29</v>
      </c>
      <c r="E629" s="7" t="str">
        <f t="shared" si="9"/>
        <v/>
      </c>
      <c r="F629" s="6" t="s">
        <v>29</v>
      </c>
      <c r="G629" s="6" t="s">
        <v>29</v>
      </c>
      <c r="H629" s="8" t="str">
        <f>IF(A629="","",Bibliotheques!$B$5&amp;IF(RIGHT(Bibliotheques!$B$5,1)="/","","/")&amp;SUBSTITUTE(A629," ","%20"))</f>
        <v/>
      </c>
      <c r="I629" s="6" t="s">
        <v>29</v>
      </c>
      <c r="J629" s="6" t="s">
        <v>29</v>
      </c>
    </row>
    <row r="630" spans="1:10" ht="33.950000000000003" customHeight="1">
      <c r="A630" s="6" t="s">
        <v>29</v>
      </c>
      <c r="B630" s="6" t="s">
        <v>29</v>
      </c>
      <c r="C630" s="7" t="str">
        <f>IF(A630="","",IFERROR(IF(VLOOKUP(B630,Bibliotheques!$A$10:$B$59,2,FALSE)=0,"Nom manquant",VLOOKUP(B630,Bibliotheques!$A$10:$B$59,2,FALSE)),"Clé inconnue"))</f>
        <v/>
      </c>
      <c r="D630" s="6" t="s">
        <v>29</v>
      </c>
      <c r="E630" s="7" t="str">
        <f t="shared" si="9"/>
        <v/>
      </c>
      <c r="F630" s="6" t="s">
        <v>29</v>
      </c>
      <c r="G630" s="6" t="s">
        <v>29</v>
      </c>
      <c r="H630" s="8" t="str">
        <f>IF(A630="","",Bibliotheques!$B$5&amp;IF(RIGHT(Bibliotheques!$B$5,1)="/","","/")&amp;SUBSTITUTE(A630," ","%20"))</f>
        <v/>
      </c>
      <c r="I630" s="6" t="s">
        <v>29</v>
      </c>
      <c r="J630" s="6" t="s">
        <v>29</v>
      </c>
    </row>
    <row r="631" spans="1:10" ht="33.950000000000003" customHeight="1">
      <c r="A631" s="6" t="s">
        <v>29</v>
      </c>
      <c r="B631" s="6" t="s">
        <v>29</v>
      </c>
      <c r="C631" s="7" t="str">
        <f>IF(A631="","",IFERROR(IF(VLOOKUP(B631,Bibliotheques!$A$10:$B$59,2,FALSE)=0,"Nom manquant",VLOOKUP(B631,Bibliotheques!$A$10:$B$59,2,FALSE)),"Clé inconnue"))</f>
        <v/>
      </c>
      <c r="D631" s="6" t="s">
        <v>29</v>
      </c>
      <c r="E631" s="7" t="str">
        <f t="shared" si="9"/>
        <v/>
      </c>
      <c r="F631" s="6" t="s">
        <v>29</v>
      </c>
      <c r="G631" s="6" t="s">
        <v>29</v>
      </c>
      <c r="H631" s="8" t="str">
        <f>IF(A631="","",Bibliotheques!$B$5&amp;IF(RIGHT(Bibliotheques!$B$5,1)="/","","/")&amp;SUBSTITUTE(A631," ","%20"))</f>
        <v/>
      </c>
      <c r="I631" s="6" t="s">
        <v>29</v>
      </c>
      <c r="J631" s="6" t="s">
        <v>29</v>
      </c>
    </row>
    <row r="632" spans="1:10" ht="33.950000000000003" customHeight="1">
      <c r="A632" s="6" t="s">
        <v>29</v>
      </c>
      <c r="B632" s="6" t="s">
        <v>29</v>
      </c>
      <c r="C632" s="7" t="str">
        <f>IF(A632="","",IFERROR(IF(VLOOKUP(B632,Bibliotheques!$A$10:$B$59,2,FALSE)=0,"Nom manquant",VLOOKUP(B632,Bibliotheques!$A$10:$B$59,2,FALSE)),"Clé inconnue"))</f>
        <v/>
      </c>
      <c r="D632" s="6" t="s">
        <v>29</v>
      </c>
      <c r="E632" s="7" t="str">
        <f t="shared" si="9"/>
        <v/>
      </c>
      <c r="F632" s="6" t="s">
        <v>29</v>
      </c>
      <c r="G632" s="6" t="s">
        <v>29</v>
      </c>
      <c r="H632" s="8" t="str">
        <f>IF(A632="","",Bibliotheques!$B$5&amp;IF(RIGHT(Bibliotheques!$B$5,1)="/","","/")&amp;SUBSTITUTE(A632," ","%20"))</f>
        <v/>
      </c>
      <c r="I632" s="6" t="s">
        <v>29</v>
      </c>
      <c r="J632" s="6" t="s">
        <v>29</v>
      </c>
    </row>
    <row r="633" spans="1:10" ht="33.950000000000003" customHeight="1">
      <c r="A633" s="6" t="s">
        <v>29</v>
      </c>
      <c r="B633" s="6" t="s">
        <v>29</v>
      </c>
      <c r="C633" s="7" t="str">
        <f>IF(A633="","",IFERROR(IF(VLOOKUP(B633,Bibliotheques!$A$10:$B$59,2,FALSE)=0,"Nom manquant",VLOOKUP(B633,Bibliotheques!$A$10:$B$59,2,FALSE)),"Clé inconnue"))</f>
        <v/>
      </c>
      <c r="D633" s="6" t="s">
        <v>29</v>
      </c>
      <c r="E633" s="7" t="str">
        <f t="shared" si="9"/>
        <v/>
      </c>
      <c r="F633" s="6" t="s">
        <v>29</v>
      </c>
      <c r="G633" s="6" t="s">
        <v>29</v>
      </c>
      <c r="H633" s="8" t="str">
        <f>IF(A633="","",Bibliotheques!$B$5&amp;IF(RIGHT(Bibliotheques!$B$5,1)="/","","/")&amp;SUBSTITUTE(A633," ","%20"))</f>
        <v/>
      </c>
      <c r="I633" s="6" t="s">
        <v>29</v>
      </c>
      <c r="J633" s="6" t="s">
        <v>29</v>
      </c>
    </row>
    <row r="634" spans="1:10" ht="33.950000000000003" customHeight="1">
      <c r="A634" s="6" t="s">
        <v>29</v>
      </c>
      <c r="B634" s="6" t="s">
        <v>29</v>
      </c>
      <c r="C634" s="7" t="str">
        <f>IF(A634="","",IFERROR(IF(VLOOKUP(B634,Bibliotheques!$A$10:$B$59,2,FALSE)=0,"Nom manquant",VLOOKUP(B634,Bibliotheques!$A$10:$B$59,2,FALSE)),"Clé inconnue"))</f>
        <v/>
      </c>
      <c r="D634" s="6" t="s">
        <v>29</v>
      </c>
      <c r="E634" s="7" t="str">
        <f t="shared" si="9"/>
        <v/>
      </c>
      <c r="F634" s="6" t="s">
        <v>29</v>
      </c>
      <c r="G634" s="6" t="s">
        <v>29</v>
      </c>
      <c r="H634" s="8" t="str">
        <f>IF(A634="","",Bibliotheques!$B$5&amp;IF(RIGHT(Bibliotheques!$B$5,1)="/","","/")&amp;SUBSTITUTE(A634," ","%20"))</f>
        <v/>
      </c>
      <c r="I634" s="6" t="s">
        <v>29</v>
      </c>
      <c r="J634" s="6" t="s">
        <v>29</v>
      </c>
    </row>
    <row r="635" spans="1:10" ht="33.950000000000003" customHeight="1">
      <c r="A635" s="6" t="s">
        <v>29</v>
      </c>
      <c r="B635" s="6" t="s">
        <v>29</v>
      </c>
      <c r="C635" s="7" t="str">
        <f>IF(A635="","",IFERROR(IF(VLOOKUP(B635,Bibliotheques!$A$10:$B$59,2,FALSE)=0,"Nom manquant",VLOOKUP(B635,Bibliotheques!$A$10:$B$59,2,FALSE)),"Clé inconnue"))</f>
        <v/>
      </c>
      <c r="D635" s="6" t="s">
        <v>29</v>
      </c>
      <c r="E635" s="7" t="str">
        <f t="shared" si="9"/>
        <v/>
      </c>
      <c r="F635" s="6" t="s">
        <v>29</v>
      </c>
      <c r="G635" s="6" t="s">
        <v>29</v>
      </c>
      <c r="H635" s="8" t="str">
        <f>IF(A635="","",Bibliotheques!$B$5&amp;IF(RIGHT(Bibliotheques!$B$5,1)="/","","/")&amp;SUBSTITUTE(A635," ","%20"))</f>
        <v/>
      </c>
      <c r="I635" s="6" t="s">
        <v>29</v>
      </c>
      <c r="J635" s="6" t="s">
        <v>29</v>
      </c>
    </row>
    <row r="636" spans="1:10" ht="33.950000000000003" customHeight="1">
      <c r="A636" s="6" t="s">
        <v>29</v>
      </c>
      <c r="B636" s="6" t="s">
        <v>29</v>
      </c>
      <c r="C636" s="7" t="str">
        <f>IF(A636="","",IFERROR(IF(VLOOKUP(B636,Bibliotheques!$A$10:$B$59,2,FALSE)=0,"Nom manquant",VLOOKUP(B636,Bibliotheques!$A$10:$B$59,2,FALSE)),"Clé inconnue"))</f>
        <v/>
      </c>
      <c r="D636" s="6" t="s">
        <v>29</v>
      </c>
      <c r="E636" s="7" t="str">
        <f t="shared" si="9"/>
        <v/>
      </c>
      <c r="F636" s="6" t="s">
        <v>29</v>
      </c>
      <c r="G636" s="6" t="s">
        <v>29</v>
      </c>
      <c r="H636" s="8" t="str">
        <f>IF(A636="","",Bibliotheques!$B$5&amp;IF(RIGHT(Bibliotheques!$B$5,1)="/","","/")&amp;SUBSTITUTE(A636," ","%20"))</f>
        <v/>
      </c>
      <c r="I636" s="6" t="s">
        <v>29</v>
      </c>
      <c r="J636" s="6" t="s">
        <v>29</v>
      </c>
    </row>
    <row r="637" spans="1:10" ht="33.950000000000003" customHeight="1">
      <c r="A637" s="6" t="s">
        <v>29</v>
      </c>
      <c r="B637" s="6" t="s">
        <v>29</v>
      </c>
      <c r="C637" s="7" t="str">
        <f>IF(A637="","",IFERROR(IF(VLOOKUP(B637,Bibliotheques!$A$10:$B$59,2,FALSE)=0,"Nom manquant",VLOOKUP(B637,Bibliotheques!$A$10:$B$59,2,FALSE)),"Clé inconnue"))</f>
        <v/>
      </c>
      <c r="D637" s="6" t="s">
        <v>29</v>
      </c>
      <c r="E637" s="7" t="str">
        <f t="shared" si="9"/>
        <v/>
      </c>
      <c r="F637" s="6" t="s">
        <v>29</v>
      </c>
      <c r="G637" s="6" t="s">
        <v>29</v>
      </c>
      <c r="H637" s="8" t="str">
        <f>IF(A637="","",Bibliotheques!$B$5&amp;IF(RIGHT(Bibliotheques!$B$5,1)="/","","/")&amp;SUBSTITUTE(A637," ","%20"))</f>
        <v/>
      </c>
      <c r="I637" s="6" t="s">
        <v>29</v>
      </c>
      <c r="J637" s="6" t="s">
        <v>29</v>
      </c>
    </row>
    <row r="638" spans="1:10" ht="33.950000000000003" customHeight="1">
      <c r="A638" s="6" t="s">
        <v>29</v>
      </c>
      <c r="B638" s="6" t="s">
        <v>29</v>
      </c>
      <c r="C638" s="7" t="str">
        <f>IF(A638="","",IFERROR(IF(VLOOKUP(B638,Bibliotheques!$A$10:$B$59,2,FALSE)=0,"Nom manquant",VLOOKUP(B638,Bibliotheques!$A$10:$B$59,2,FALSE)),"Clé inconnue"))</f>
        <v/>
      </c>
      <c r="D638" s="6" t="s">
        <v>29</v>
      </c>
      <c r="E638" s="7" t="str">
        <f t="shared" si="9"/>
        <v/>
      </c>
      <c r="F638" s="6" t="s">
        <v>29</v>
      </c>
      <c r="G638" s="6" t="s">
        <v>29</v>
      </c>
      <c r="H638" s="8" t="str">
        <f>IF(A638="","",Bibliotheques!$B$5&amp;IF(RIGHT(Bibliotheques!$B$5,1)="/","","/")&amp;SUBSTITUTE(A638," ","%20"))</f>
        <v/>
      </c>
      <c r="I638" s="6" t="s">
        <v>29</v>
      </c>
      <c r="J638" s="6" t="s">
        <v>29</v>
      </c>
    </row>
    <row r="639" spans="1:10" ht="33.950000000000003" customHeight="1">
      <c r="A639" s="6" t="s">
        <v>29</v>
      </c>
      <c r="B639" s="6" t="s">
        <v>29</v>
      </c>
      <c r="C639" s="7" t="str">
        <f>IF(A639="","",IFERROR(IF(VLOOKUP(B639,Bibliotheques!$A$10:$B$59,2,FALSE)=0,"Nom manquant",VLOOKUP(B639,Bibliotheques!$A$10:$B$59,2,FALSE)),"Clé inconnue"))</f>
        <v/>
      </c>
      <c r="D639" s="6" t="s">
        <v>29</v>
      </c>
      <c r="E639" s="7" t="str">
        <f t="shared" si="9"/>
        <v/>
      </c>
      <c r="F639" s="6" t="s">
        <v>29</v>
      </c>
      <c r="G639" s="6" t="s">
        <v>29</v>
      </c>
      <c r="H639" s="8" t="str">
        <f>IF(A639="","",Bibliotheques!$B$5&amp;IF(RIGHT(Bibliotheques!$B$5,1)="/","","/")&amp;SUBSTITUTE(A639," ","%20"))</f>
        <v/>
      </c>
      <c r="I639" s="6" t="s">
        <v>29</v>
      </c>
      <c r="J639" s="6" t="s">
        <v>29</v>
      </c>
    </row>
    <row r="640" spans="1:10" ht="33.950000000000003" customHeight="1">
      <c r="A640" s="6" t="s">
        <v>29</v>
      </c>
      <c r="B640" s="6" t="s">
        <v>29</v>
      </c>
      <c r="C640" s="7" t="str">
        <f>IF(A640="","",IFERROR(IF(VLOOKUP(B640,Bibliotheques!$A$10:$B$59,2,FALSE)=0,"Nom manquant",VLOOKUP(B640,Bibliotheques!$A$10:$B$59,2,FALSE)),"Clé inconnue"))</f>
        <v/>
      </c>
      <c r="D640" s="6" t="s">
        <v>29</v>
      </c>
      <c r="E640" s="7" t="str">
        <f t="shared" si="9"/>
        <v/>
      </c>
      <c r="F640" s="6" t="s">
        <v>29</v>
      </c>
      <c r="G640" s="6" t="s">
        <v>29</v>
      </c>
      <c r="H640" s="8" t="str">
        <f>IF(A640="","",Bibliotheques!$B$5&amp;IF(RIGHT(Bibliotheques!$B$5,1)="/","","/")&amp;SUBSTITUTE(A640," ","%20"))</f>
        <v/>
      </c>
      <c r="I640" s="6" t="s">
        <v>29</v>
      </c>
      <c r="J640" s="6" t="s">
        <v>29</v>
      </c>
    </row>
    <row r="641" spans="1:10" ht="33.950000000000003" customHeight="1">
      <c r="A641" s="6" t="s">
        <v>29</v>
      </c>
      <c r="B641" s="6" t="s">
        <v>29</v>
      </c>
      <c r="C641" s="7" t="str">
        <f>IF(A641="","",IFERROR(IF(VLOOKUP(B641,Bibliotheques!$A$10:$B$59,2,FALSE)=0,"Nom manquant",VLOOKUP(B641,Bibliotheques!$A$10:$B$59,2,FALSE)),"Clé inconnue"))</f>
        <v/>
      </c>
      <c r="D641" s="6" t="s">
        <v>29</v>
      </c>
      <c r="E641" s="7" t="str">
        <f t="shared" si="9"/>
        <v/>
      </c>
      <c r="F641" s="6" t="s">
        <v>29</v>
      </c>
      <c r="G641" s="6" t="s">
        <v>29</v>
      </c>
      <c r="H641" s="8" t="str">
        <f>IF(A641="","",Bibliotheques!$B$5&amp;IF(RIGHT(Bibliotheques!$B$5,1)="/","","/")&amp;SUBSTITUTE(A641," ","%20"))</f>
        <v/>
      </c>
      <c r="I641" s="6" t="s">
        <v>29</v>
      </c>
      <c r="J641" s="6" t="s">
        <v>29</v>
      </c>
    </row>
    <row r="642" spans="1:10" ht="33.950000000000003" customHeight="1">
      <c r="A642" s="6" t="s">
        <v>29</v>
      </c>
      <c r="B642" s="6" t="s">
        <v>29</v>
      </c>
      <c r="C642" s="7" t="str">
        <f>IF(A642="","",IFERROR(IF(VLOOKUP(B642,Bibliotheques!$A$10:$B$59,2,FALSE)=0,"Nom manquant",VLOOKUP(B642,Bibliotheques!$A$10:$B$59,2,FALSE)),"Clé inconnue"))</f>
        <v/>
      </c>
      <c r="D642" s="6" t="s">
        <v>29</v>
      </c>
      <c r="E642" s="7" t="str">
        <f t="shared" si="9"/>
        <v/>
      </c>
      <c r="F642" s="6" t="s">
        <v>29</v>
      </c>
      <c r="G642" s="6" t="s">
        <v>29</v>
      </c>
      <c r="H642" s="8" t="str">
        <f>IF(A642="","",Bibliotheques!$B$5&amp;IF(RIGHT(Bibliotheques!$B$5,1)="/","","/")&amp;SUBSTITUTE(A642," ","%20"))</f>
        <v/>
      </c>
      <c r="I642" s="6" t="s">
        <v>29</v>
      </c>
      <c r="J642" s="6" t="s">
        <v>29</v>
      </c>
    </row>
    <row r="643" spans="1:10" ht="33.950000000000003" customHeight="1">
      <c r="A643" s="6" t="s">
        <v>29</v>
      </c>
      <c r="B643" s="6" t="s">
        <v>29</v>
      </c>
      <c r="C643" s="7" t="str">
        <f>IF(A643="","",IFERROR(IF(VLOOKUP(B643,Bibliotheques!$A$10:$B$59,2,FALSE)=0,"Nom manquant",VLOOKUP(B643,Bibliotheques!$A$10:$B$59,2,FALSE)),"Clé inconnue"))</f>
        <v/>
      </c>
      <c r="D643" s="6" t="s">
        <v>29</v>
      </c>
      <c r="E643" s="7" t="str">
        <f t="shared" si="9"/>
        <v/>
      </c>
      <c r="F643" s="6" t="s">
        <v>29</v>
      </c>
      <c r="G643" s="6" t="s">
        <v>29</v>
      </c>
      <c r="H643" s="8" t="str">
        <f>IF(A643="","",Bibliotheques!$B$5&amp;IF(RIGHT(Bibliotheques!$B$5,1)="/","","/")&amp;SUBSTITUTE(A643," ","%20"))</f>
        <v/>
      </c>
      <c r="I643" s="6" t="s">
        <v>29</v>
      </c>
      <c r="J643" s="6" t="s">
        <v>29</v>
      </c>
    </row>
    <row r="644" spans="1:10" ht="33.950000000000003" customHeight="1">
      <c r="A644" s="6" t="s">
        <v>29</v>
      </c>
      <c r="B644" s="6" t="s">
        <v>29</v>
      </c>
      <c r="C644" s="7" t="str">
        <f>IF(A644="","",IFERROR(IF(VLOOKUP(B644,Bibliotheques!$A$10:$B$59,2,FALSE)=0,"Nom manquant",VLOOKUP(B644,Bibliotheques!$A$10:$B$59,2,FALSE)),"Clé inconnue"))</f>
        <v/>
      </c>
      <c r="D644" s="6" t="s">
        <v>29</v>
      </c>
      <c r="E644" s="7" t="str">
        <f t="shared" si="9"/>
        <v/>
      </c>
      <c r="F644" s="6" t="s">
        <v>29</v>
      </c>
      <c r="G644" s="6" t="s">
        <v>29</v>
      </c>
      <c r="H644" s="8" t="str">
        <f>IF(A644="","",Bibliotheques!$B$5&amp;IF(RIGHT(Bibliotheques!$B$5,1)="/","","/")&amp;SUBSTITUTE(A644," ","%20"))</f>
        <v/>
      </c>
      <c r="I644" s="6" t="s">
        <v>29</v>
      </c>
      <c r="J644" s="6" t="s">
        <v>29</v>
      </c>
    </row>
    <row r="645" spans="1:10" ht="33.950000000000003" customHeight="1">
      <c r="A645" s="6" t="s">
        <v>29</v>
      </c>
      <c r="B645" s="6" t="s">
        <v>29</v>
      </c>
      <c r="C645" s="7" t="str">
        <f>IF(A645="","",IFERROR(IF(VLOOKUP(B645,Bibliotheques!$A$10:$B$59,2,FALSE)=0,"Nom manquant",VLOOKUP(B645,Bibliotheques!$A$10:$B$59,2,FALSE)),"Clé inconnue"))</f>
        <v/>
      </c>
      <c r="D645" s="6" t="s">
        <v>29</v>
      </c>
      <c r="E645" s="7" t="str">
        <f t="shared" si="9"/>
        <v/>
      </c>
      <c r="F645" s="6" t="s">
        <v>29</v>
      </c>
      <c r="G645" s="6" t="s">
        <v>29</v>
      </c>
      <c r="H645" s="8" t="str">
        <f>IF(A645="","",Bibliotheques!$B$5&amp;IF(RIGHT(Bibliotheques!$B$5,1)="/","","/")&amp;SUBSTITUTE(A645," ","%20"))</f>
        <v/>
      </c>
      <c r="I645" s="6" t="s">
        <v>29</v>
      </c>
      <c r="J645" s="6" t="s">
        <v>29</v>
      </c>
    </row>
    <row r="646" spans="1:10" ht="33.950000000000003" customHeight="1">
      <c r="A646" s="6" t="s">
        <v>29</v>
      </c>
      <c r="B646" s="6" t="s">
        <v>29</v>
      </c>
      <c r="C646" s="7" t="str">
        <f>IF(A646="","",IFERROR(IF(VLOOKUP(B646,Bibliotheques!$A$10:$B$59,2,FALSE)=0,"Nom manquant",VLOOKUP(B646,Bibliotheques!$A$10:$B$59,2,FALSE)),"Clé inconnue"))</f>
        <v/>
      </c>
      <c r="D646" s="6" t="s">
        <v>29</v>
      </c>
      <c r="E646" s="7" t="str">
        <f t="shared" ref="E646:E709" si="10">IF(A646="","",LOWER(B646&amp;"-"&amp;SUBSTITUTE(SUBSTITUTE(SUBSTITUTE(LOWER(A646),".svg","")," ","-"),"/","-")))</f>
        <v/>
      </c>
      <c r="F646" s="6" t="s">
        <v>29</v>
      </c>
      <c r="G646" s="6" t="s">
        <v>29</v>
      </c>
      <c r="H646" s="8" t="str">
        <f>IF(A646="","",Bibliotheques!$B$5&amp;IF(RIGHT(Bibliotheques!$B$5,1)="/","","/")&amp;SUBSTITUTE(A646," ","%20"))</f>
        <v/>
      </c>
      <c r="I646" s="6" t="s">
        <v>29</v>
      </c>
      <c r="J646" s="6" t="s">
        <v>29</v>
      </c>
    </row>
    <row r="647" spans="1:10" ht="33.950000000000003" customHeight="1">
      <c r="A647" s="6" t="s">
        <v>29</v>
      </c>
      <c r="B647" s="6" t="s">
        <v>29</v>
      </c>
      <c r="C647" s="7" t="str">
        <f>IF(A647="","",IFERROR(IF(VLOOKUP(B647,Bibliotheques!$A$10:$B$59,2,FALSE)=0,"Nom manquant",VLOOKUP(B647,Bibliotheques!$A$10:$B$59,2,FALSE)),"Clé inconnue"))</f>
        <v/>
      </c>
      <c r="D647" s="6" t="s">
        <v>29</v>
      </c>
      <c r="E647" s="7" t="str">
        <f t="shared" si="10"/>
        <v/>
      </c>
      <c r="F647" s="6" t="s">
        <v>29</v>
      </c>
      <c r="G647" s="6" t="s">
        <v>29</v>
      </c>
      <c r="H647" s="8" t="str">
        <f>IF(A647="","",Bibliotheques!$B$5&amp;IF(RIGHT(Bibliotheques!$B$5,1)="/","","/")&amp;SUBSTITUTE(A647," ","%20"))</f>
        <v/>
      </c>
      <c r="I647" s="6" t="s">
        <v>29</v>
      </c>
      <c r="J647" s="6" t="s">
        <v>29</v>
      </c>
    </row>
    <row r="648" spans="1:10" ht="33.950000000000003" customHeight="1">
      <c r="A648" s="6" t="s">
        <v>29</v>
      </c>
      <c r="B648" s="6" t="s">
        <v>29</v>
      </c>
      <c r="C648" s="7" t="str">
        <f>IF(A648="","",IFERROR(IF(VLOOKUP(B648,Bibliotheques!$A$10:$B$59,2,FALSE)=0,"Nom manquant",VLOOKUP(B648,Bibliotheques!$A$10:$B$59,2,FALSE)),"Clé inconnue"))</f>
        <v/>
      </c>
      <c r="D648" s="6" t="s">
        <v>29</v>
      </c>
      <c r="E648" s="7" t="str">
        <f t="shared" si="10"/>
        <v/>
      </c>
      <c r="F648" s="6" t="s">
        <v>29</v>
      </c>
      <c r="G648" s="6" t="s">
        <v>29</v>
      </c>
      <c r="H648" s="8" t="str">
        <f>IF(A648="","",Bibliotheques!$B$5&amp;IF(RIGHT(Bibliotheques!$B$5,1)="/","","/")&amp;SUBSTITUTE(A648," ","%20"))</f>
        <v/>
      </c>
      <c r="I648" s="6" t="s">
        <v>29</v>
      </c>
      <c r="J648" s="6" t="s">
        <v>29</v>
      </c>
    </row>
    <row r="649" spans="1:10" ht="33.950000000000003" customHeight="1">
      <c r="A649" s="6" t="s">
        <v>29</v>
      </c>
      <c r="B649" s="6" t="s">
        <v>29</v>
      </c>
      <c r="C649" s="7" t="str">
        <f>IF(A649="","",IFERROR(IF(VLOOKUP(B649,Bibliotheques!$A$10:$B$59,2,FALSE)=0,"Nom manquant",VLOOKUP(B649,Bibliotheques!$A$10:$B$59,2,FALSE)),"Clé inconnue"))</f>
        <v/>
      </c>
      <c r="D649" s="6" t="s">
        <v>29</v>
      </c>
      <c r="E649" s="7" t="str">
        <f t="shared" si="10"/>
        <v/>
      </c>
      <c r="F649" s="6" t="s">
        <v>29</v>
      </c>
      <c r="G649" s="6" t="s">
        <v>29</v>
      </c>
      <c r="H649" s="8" t="str">
        <f>IF(A649="","",Bibliotheques!$B$5&amp;IF(RIGHT(Bibliotheques!$B$5,1)="/","","/")&amp;SUBSTITUTE(A649," ","%20"))</f>
        <v/>
      </c>
      <c r="I649" s="6" t="s">
        <v>29</v>
      </c>
      <c r="J649" s="6" t="s">
        <v>29</v>
      </c>
    </row>
    <row r="650" spans="1:10" ht="33.950000000000003" customHeight="1">
      <c r="A650" s="6" t="s">
        <v>29</v>
      </c>
      <c r="B650" s="6" t="s">
        <v>29</v>
      </c>
      <c r="C650" s="7" t="str">
        <f>IF(A650="","",IFERROR(IF(VLOOKUP(B650,Bibliotheques!$A$10:$B$59,2,FALSE)=0,"Nom manquant",VLOOKUP(B650,Bibliotheques!$A$10:$B$59,2,FALSE)),"Clé inconnue"))</f>
        <v/>
      </c>
      <c r="D650" s="6" t="s">
        <v>29</v>
      </c>
      <c r="E650" s="7" t="str">
        <f t="shared" si="10"/>
        <v/>
      </c>
      <c r="F650" s="6" t="s">
        <v>29</v>
      </c>
      <c r="G650" s="6" t="s">
        <v>29</v>
      </c>
      <c r="H650" s="8" t="str">
        <f>IF(A650="","",Bibliotheques!$B$5&amp;IF(RIGHT(Bibliotheques!$B$5,1)="/","","/")&amp;SUBSTITUTE(A650," ","%20"))</f>
        <v/>
      </c>
      <c r="I650" s="6" t="s">
        <v>29</v>
      </c>
      <c r="J650" s="6" t="s">
        <v>29</v>
      </c>
    </row>
    <row r="651" spans="1:10" ht="33.950000000000003" customHeight="1">
      <c r="A651" s="6" t="s">
        <v>29</v>
      </c>
      <c r="B651" s="6" t="s">
        <v>29</v>
      </c>
      <c r="C651" s="7" t="str">
        <f>IF(A651="","",IFERROR(IF(VLOOKUP(B651,Bibliotheques!$A$10:$B$59,2,FALSE)=0,"Nom manquant",VLOOKUP(B651,Bibliotheques!$A$10:$B$59,2,FALSE)),"Clé inconnue"))</f>
        <v/>
      </c>
      <c r="D651" s="6" t="s">
        <v>29</v>
      </c>
      <c r="E651" s="7" t="str">
        <f t="shared" si="10"/>
        <v/>
      </c>
      <c r="F651" s="6" t="s">
        <v>29</v>
      </c>
      <c r="G651" s="6" t="s">
        <v>29</v>
      </c>
      <c r="H651" s="8" t="str">
        <f>IF(A651="","",Bibliotheques!$B$5&amp;IF(RIGHT(Bibliotheques!$B$5,1)="/","","/")&amp;SUBSTITUTE(A651," ","%20"))</f>
        <v/>
      </c>
      <c r="I651" s="6" t="s">
        <v>29</v>
      </c>
      <c r="J651" s="6" t="s">
        <v>29</v>
      </c>
    </row>
    <row r="652" spans="1:10" ht="33.950000000000003" customHeight="1">
      <c r="A652" s="6" t="s">
        <v>29</v>
      </c>
      <c r="B652" s="6" t="s">
        <v>29</v>
      </c>
      <c r="C652" s="7" t="str">
        <f>IF(A652="","",IFERROR(IF(VLOOKUP(B652,Bibliotheques!$A$10:$B$59,2,FALSE)=0,"Nom manquant",VLOOKUP(B652,Bibliotheques!$A$10:$B$59,2,FALSE)),"Clé inconnue"))</f>
        <v/>
      </c>
      <c r="D652" s="6" t="s">
        <v>29</v>
      </c>
      <c r="E652" s="7" t="str">
        <f t="shared" si="10"/>
        <v/>
      </c>
      <c r="F652" s="6" t="s">
        <v>29</v>
      </c>
      <c r="G652" s="6" t="s">
        <v>29</v>
      </c>
      <c r="H652" s="8" t="str">
        <f>IF(A652="","",Bibliotheques!$B$5&amp;IF(RIGHT(Bibliotheques!$B$5,1)="/","","/")&amp;SUBSTITUTE(A652," ","%20"))</f>
        <v/>
      </c>
      <c r="I652" s="6" t="s">
        <v>29</v>
      </c>
      <c r="J652" s="6" t="s">
        <v>29</v>
      </c>
    </row>
    <row r="653" spans="1:10" ht="33.950000000000003" customHeight="1">
      <c r="A653" s="6" t="s">
        <v>29</v>
      </c>
      <c r="B653" s="6" t="s">
        <v>29</v>
      </c>
      <c r="C653" s="7" t="str">
        <f>IF(A653="","",IFERROR(IF(VLOOKUP(B653,Bibliotheques!$A$10:$B$59,2,FALSE)=0,"Nom manquant",VLOOKUP(B653,Bibliotheques!$A$10:$B$59,2,FALSE)),"Clé inconnue"))</f>
        <v/>
      </c>
      <c r="D653" s="6" t="s">
        <v>29</v>
      </c>
      <c r="E653" s="7" t="str">
        <f t="shared" si="10"/>
        <v/>
      </c>
      <c r="F653" s="6" t="s">
        <v>29</v>
      </c>
      <c r="G653" s="6" t="s">
        <v>29</v>
      </c>
      <c r="H653" s="8" t="str">
        <f>IF(A653="","",Bibliotheques!$B$5&amp;IF(RIGHT(Bibliotheques!$B$5,1)="/","","/")&amp;SUBSTITUTE(A653," ","%20"))</f>
        <v/>
      </c>
      <c r="I653" s="6" t="s">
        <v>29</v>
      </c>
      <c r="J653" s="6" t="s">
        <v>29</v>
      </c>
    </row>
    <row r="654" spans="1:10" ht="33.950000000000003" customHeight="1">
      <c r="A654" s="6" t="s">
        <v>29</v>
      </c>
      <c r="B654" s="6" t="s">
        <v>29</v>
      </c>
      <c r="C654" s="7" t="str">
        <f>IF(A654="","",IFERROR(IF(VLOOKUP(B654,Bibliotheques!$A$10:$B$59,2,FALSE)=0,"Nom manquant",VLOOKUP(B654,Bibliotheques!$A$10:$B$59,2,FALSE)),"Clé inconnue"))</f>
        <v/>
      </c>
      <c r="D654" s="6" t="s">
        <v>29</v>
      </c>
      <c r="E654" s="7" t="str">
        <f t="shared" si="10"/>
        <v/>
      </c>
      <c r="F654" s="6" t="s">
        <v>29</v>
      </c>
      <c r="G654" s="6" t="s">
        <v>29</v>
      </c>
      <c r="H654" s="8" t="str">
        <f>IF(A654="","",Bibliotheques!$B$5&amp;IF(RIGHT(Bibliotheques!$B$5,1)="/","","/")&amp;SUBSTITUTE(A654," ","%20"))</f>
        <v/>
      </c>
      <c r="I654" s="6" t="s">
        <v>29</v>
      </c>
      <c r="J654" s="6" t="s">
        <v>29</v>
      </c>
    </row>
    <row r="655" spans="1:10" ht="33.950000000000003" customHeight="1">
      <c r="A655" s="6" t="s">
        <v>29</v>
      </c>
      <c r="B655" s="6" t="s">
        <v>29</v>
      </c>
      <c r="C655" s="7" t="str">
        <f>IF(A655="","",IFERROR(IF(VLOOKUP(B655,Bibliotheques!$A$10:$B$59,2,FALSE)=0,"Nom manquant",VLOOKUP(B655,Bibliotheques!$A$10:$B$59,2,FALSE)),"Clé inconnue"))</f>
        <v/>
      </c>
      <c r="D655" s="6" t="s">
        <v>29</v>
      </c>
      <c r="E655" s="7" t="str">
        <f t="shared" si="10"/>
        <v/>
      </c>
      <c r="F655" s="6" t="s">
        <v>29</v>
      </c>
      <c r="G655" s="6" t="s">
        <v>29</v>
      </c>
      <c r="H655" s="8" t="str">
        <f>IF(A655="","",Bibliotheques!$B$5&amp;IF(RIGHT(Bibliotheques!$B$5,1)="/","","/")&amp;SUBSTITUTE(A655," ","%20"))</f>
        <v/>
      </c>
      <c r="I655" s="6" t="s">
        <v>29</v>
      </c>
      <c r="J655" s="6" t="s">
        <v>29</v>
      </c>
    </row>
    <row r="656" spans="1:10" ht="33.950000000000003" customHeight="1">
      <c r="A656" s="6" t="s">
        <v>29</v>
      </c>
      <c r="B656" s="6" t="s">
        <v>29</v>
      </c>
      <c r="C656" s="7" t="str">
        <f>IF(A656="","",IFERROR(IF(VLOOKUP(B656,Bibliotheques!$A$10:$B$59,2,FALSE)=0,"Nom manquant",VLOOKUP(B656,Bibliotheques!$A$10:$B$59,2,FALSE)),"Clé inconnue"))</f>
        <v/>
      </c>
      <c r="D656" s="6" t="s">
        <v>29</v>
      </c>
      <c r="E656" s="7" t="str">
        <f t="shared" si="10"/>
        <v/>
      </c>
      <c r="F656" s="6" t="s">
        <v>29</v>
      </c>
      <c r="G656" s="6" t="s">
        <v>29</v>
      </c>
      <c r="H656" s="8" t="str">
        <f>IF(A656="","",Bibliotheques!$B$5&amp;IF(RIGHT(Bibliotheques!$B$5,1)="/","","/")&amp;SUBSTITUTE(A656," ","%20"))</f>
        <v/>
      </c>
      <c r="I656" s="6" t="s">
        <v>29</v>
      </c>
      <c r="J656" s="6" t="s">
        <v>29</v>
      </c>
    </row>
    <row r="657" spans="1:10" ht="33.950000000000003" customHeight="1">
      <c r="A657" s="6" t="s">
        <v>29</v>
      </c>
      <c r="B657" s="6" t="s">
        <v>29</v>
      </c>
      <c r="C657" s="7" t="str">
        <f>IF(A657="","",IFERROR(IF(VLOOKUP(B657,Bibliotheques!$A$10:$B$59,2,FALSE)=0,"Nom manquant",VLOOKUP(B657,Bibliotheques!$A$10:$B$59,2,FALSE)),"Clé inconnue"))</f>
        <v/>
      </c>
      <c r="D657" s="6" t="s">
        <v>29</v>
      </c>
      <c r="E657" s="7" t="str">
        <f t="shared" si="10"/>
        <v/>
      </c>
      <c r="F657" s="6" t="s">
        <v>29</v>
      </c>
      <c r="G657" s="6" t="s">
        <v>29</v>
      </c>
      <c r="H657" s="8" t="str">
        <f>IF(A657="","",Bibliotheques!$B$5&amp;IF(RIGHT(Bibliotheques!$B$5,1)="/","","/")&amp;SUBSTITUTE(A657," ","%20"))</f>
        <v/>
      </c>
      <c r="I657" s="6" t="s">
        <v>29</v>
      </c>
      <c r="J657" s="6" t="s">
        <v>29</v>
      </c>
    </row>
    <row r="658" spans="1:10" ht="33.950000000000003" customHeight="1">
      <c r="A658" s="6" t="s">
        <v>29</v>
      </c>
      <c r="B658" s="6" t="s">
        <v>29</v>
      </c>
      <c r="C658" s="7" t="str">
        <f>IF(A658="","",IFERROR(IF(VLOOKUP(B658,Bibliotheques!$A$10:$B$59,2,FALSE)=0,"Nom manquant",VLOOKUP(B658,Bibliotheques!$A$10:$B$59,2,FALSE)),"Clé inconnue"))</f>
        <v/>
      </c>
      <c r="D658" s="6" t="s">
        <v>29</v>
      </c>
      <c r="E658" s="7" t="str">
        <f t="shared" si="10"/>
        <v/>
      </c>
      <c r="F658" s="6" t="s">
        <v>29</v>
      </c>
      <c r="G658" s="6" t="s">
        <v>29</v>
      </c>
      <c r="H658" s="8" t="str">
        <f>IF(A658="","",Bibliotheques!$B$5&amp;IF(RIGHT(Bibliotheques!$B$5,1)="/","","/")&amp;SUBSTITUTE(A658," ","%20"))</f>
        <v/>
      </c>
      <c r="I658" s="6" t="s">
        <v>29</v>
      </c>
      <c r="J658" s="6" t="s">
        <v>29</v>
      </c>
    </row>
    <row r="659" spans="1:10" ht="33.950000000000003" customHeight="1">
      <c r="A659" s="6" t="s">
        <v>29</v>
      </c>
      <c r="B659" s="6" t="s">
        <v>29</v>
      </c>
      <c r="C659" s="7" t="str">
        <f>IF(A659="","",IFERROR(IF(VLOOKUP(B659,Bibliotheques!$A$10:$B$59,2,FALSE)=0,"Nom manquant",VLOOKUP(B659,Bibliotheques!$A$10:$B$59,2,FALSE)),"Clé inconnue"))</f>
        <v/>
      </c>
      <c r="D659" s="6" t="s">
        <v>29</v>
      </c>
      <c r="E659" s="7" t="str">
        <f t="shared" si="10"/>
        <v/>
      </c>
      <c r="F659" s="6" t="s">
        <v>29</v>
      </c>
      <c r="G659" s="6" t="s">
        <v>29</v>
      </c>
      <c r="H659" s="8" t="str">
        <f>IF(A659="","",Bibliotheques!$B$5&amp;IF(RIGHT(Bibliotheques!$B$5,1)="/","","/")&amp;SUBSTITUTE(A659," ","%20"))</f>
        <v/>
      </c>
      <c r="I659" s="6" t="s">
        <v>29</v>
      </c>
      <c r="J659" s="6" t="s">
        <v>29</v>
      </c>
    </row>
    <row r="660" spans="1:10" ht="33.950000000000003" customHeight="1">
      <c r="A660" s="6" t="s">
        <v>29</v>
      </c>
      <c r="B660" s="6" t="s">
        <v>29</v>
      </c>
      <c r="C660" s="7" t="str">
        <f>IF(A660="","",IFERROR(IF(VLOOKUP(B660,Bibliotheques!$A$10:$B$59,2,FALSE)=0,"Nom manquant",VLOOKUP(B660,Bibliotheques!$A$10:$B$59,2,FALSE)),"Clé inconnue"))</f>
        <v/>
      </c>
      <c r="D660" s="6" t="s">
        <v>29</v>
      </c>
      <c r="E660" s="7" t="str">
        <f t="shared" si="10"/>
        <v/>
      </c>
      <c r="F660" s="6" t="s">
        <v>29</v>
      </c>
      <c r="G660" s="6" t="s">
        <v>29</v>
      </c>
      <c r="H660" s="8" t="str">
        <f>IF(A660="","",Bibliotheques!$B$5&amp;IF(RIGHT(Bibliotheques!$B$5,1)="/","","/")&amp;SUBSTITUTE(A660," ","%20"))</f>
        <v/>
      </c>
      <c r="I660" s="6" t="s">
        <v>29</v>
      </c>
      <c r="J660" s="6" t="s">
        <v>29</v>
      </c>
    </row>
    <row r="661" spans="1:10" ht="33.950000000000003" customHeight="1">
      <c r="A661" s="6" t="s">
        <v>29</v>
      </c>
      <c r="B661" s="6" t="s">
        <v>29</v>
      </c>
      <c r="C661" s="7" t="str">
        <f>IF(A661="","",IFERROR(IF(VLOOKUP(B661,Bibliotheques!$A$10:$B$59,2,FALSE)=0,"Nom manquant",VLOOKUP(B661,Bibliotheques!$A$10:$B$59,2,FALSE)),"Clé inconnue"))</f>
        <v/>
      </c>
      <c r="D661" s="6" t="s">
        <v>29</v>
      </c>
      <c r="E661" s="7" t="str">
        <f t="shared" si="10"/>
        <v/>
      </c>
      <c r="F661" s="6" t="s">
        <v>29</v>
      </c>
      <c r="G661" s="6" t="s">
        <v>29</v>
      </c>
      <c r="H661" s="8" t="str">
        <f>IF(A661="","",Bibliotheques!$B$5&amp;IF(RIGHT(Bibliotheques!$B$5,1)="/","","/")&amp;SUBSTITUTE(A661," ","%20"))</f>
        <v/>
      </c>
      <c r="I661" s="6" t="s">
        <v>29</v>
      </c>
      <c r="J661" s="6" t="s">
        <v>29</v>
      </c>
    </row>
    <row r="662" spans="1:10" ht="33.950000000000003" customHeight="1">
      <c r="A662" s="6" t="s">
        <v>29</v>
      </c>
      <c r="B662" s="6" t="s">
        <v>29</v>
      </c>
      <c r="C662" s="7" t="str">
        <f>IF(A662="","",IFERROR(IF(VLOOKUP(B662,Bibliotheques!$A$10:$B$59,2,FALSE)=0,"Nom manquant",VLOOKUP(B662,Bibliotheques!$A$10:$B$59,2,FALSE)),"Clé inconnue"))</f>
        <v/>
      </c>
      <c r="D662" s="6" t="s">
        <v>29</v>
      </c>
      <c r="E662" s="7" t="str">
        <f t="shared" si="10"/>
        <v/>
      </c>
      <c r="F662" s="6" t="s">
        <v>29</v>
      </c>
      <c r="G662" s="6" t="s">
        <v>29</v>
      </c>
      <c r="H662" s="8" t="str">
        <f>IF(A662="","",Bibliotheques!$B$5&amp;IF(RIGHT(Bibliotheques!$B$5,1)="/","","/")&amp;SUBSTITUTE(A662," ","%20"))</f>
        <v/>
      </c>
      <c r="I662" s="6" t="s">
        <v>29</v>
      </c>
      <c r="J662" s="6" t="s">
        <v>29</v>
      </c>
    </row>
    <row r="663" spans="1:10" ht="33.950000000000003" customHeight="1">
      <c r="A663" s="6" t="s">
        <v>29</v>
      </c>
      <c r="B663" s="6" t="s">
        <v>29</v>
      </c>
      <c r="C663" s="7" t="str">
        <f>IF(A663="","",IFERROR(IF(VLOOKUP(B663,Bibliotheques!$A$10:$B$59,2,FALSE)=0,"Nom manquant",VLOOKUP(B663,Bibliotheques!$A$10:$B$59,2,FALSE)),"Clé inconnue"))</f>
        <v/>
      </c>
      <c r="D663" s="6" t="s">
        <v>29</v>
      </c>
      <c r="E663" s="7" t="str">
        <f t="shared" si="10"/>
        <v/>
      </c>
      <c r="F663" s="6" t="s">
        <v>29</v>
      </c>
      <c r="G663" s="6" t="s">
        <v>29</v>
      </c>
      <c r="H663" s="8" t="str">
        <f>IF(A663="","",Bibliotheques!$B$5&amp;IF(RIGHT(Bibliotheques!$B$5,1)="/","","/")&amp;SUBSTITUTE(A663," ","%20"))</f>
        <v/>
      </c>
      <c r="I663" s="6" t="s">
        <v>29</v>
      </c>
      <c r="J663" s="6" t="s">
        <v>29</v>
      </c>
    </row>
    <row r="664" spans="1:10" ht="33.950000000000003" customHeight="1">
      <c r="A664" s="6" t="s">
        <v>29</v>
      </c>
      <c r="B664" s="6" t="s">
        <v>29</v>
      </c>
      <c r="C664" s="7" t="str">
        <f>IF(A664="","",IFERROR(IF(VLOOKUP(B664,Bibliotheques!$A$10:$B$59,2,FALSE)=0,"Nom manquant",VLOOKUP(B664,Bibliotheques!$A$10:$B$59,2,FALSE)),"Clé inconnue"))</f>
        <v/>
      </c>
      <c r="D664" s="6" t="s">
        <v>29</v>
      </c>
      <c r="E664" s="7" t="str">
        <f t="shared" si="10"/>
        <v/>
      </c>
      <c r="F664" s="6" t="s">
        <v>29</v>
      </c>
      <c r="G664" s="6" t="s">
        <v>29</v>
      </c>
      <c r="H664" s="8" t="str">
        <f>IF(A664="","",Bibliotheques!$B$5&amp;IF(RIGHT(Bibliotheques!$B$5,1)="/","","/")&amp;SUBSTITUTE(A664," ","%20"))</f>
        <v/>
      </c>
      <c r="I664" s="6" t="s">
        <v>29</v>
      </c>
      <c r="J664" s="6" t="s">
        <v>29</v>
      </c>
    </row>
    <row r="665" spans="1:10" ht="33.950000000000003" customHeight="1">
      <c r="A665" s="6" t="s">
        <v>29</v>
      </c>
      <c r="B665" s="6" t="s">
        <v>29</v>
      </c>
      <c r="C665" s="7" t="str">
        <f>IF(A665="","",IFERROR(IF(VLOOKUP(B665,Bibliotheques!$A$10:$B$59,2,FALSE)=0,"Nom manquant",VLOOKUP(B665,Bibliotheques!$A$10:$B$59,2,FALSE)),"Clé inconnue"))</f>
        <v/>
      </c>
      <c r="D665" s="6" t="s">
        <v>29</v>
      </c>
      <c r="E665" s="7" t="str">
        <f t="shared" si="10"/>
        <v/>
      </c>
      <c r="F665" s="6" t="s">
        <v>29</v>
      </c>
      <c r="G665" s="6" t="s">
        <v>29</v>
      </c>
      <c r="H665" s="8" t="str">
        <f>IF(A665="","",Bibliotheques!$B$5&amp;IF(RIGHT(Bibliotheques!$B$5,1)="/","","/")&amp;SUBSTITUTE(A665," ","%20"))</f>
        <v/>
      </c>
      <c r="I665" s="6" t="s">
        <v>29</v>
      </c>
      <c r="J665" s="6" t="s">
        <v>29</v>
      </c>
    </row>
    <row r="666" spans="1:10" ht="33.950000000000003" customHeight="1">
      <c r="A666" s="6" t="s">
        <v>29</v>
      </c>
      <c r="B666" s="6" t="s">
        <v>29</v>
      </c>
      <c r="C666" s="7" t="str">
        <f>IF(A666="","",IFERROR(IF(VLOOKUP(B666,Bibliotheques!$A$10:$B$59,2,FALSE)=0,"Nom manquant",VLOOKUP(B666,Bibliotheques!$A$10:$B$59,2,FALSE)),"Clé inconnue"))</f>
        <v/>
      </c>
      <c r="D666" s="6" t="s">
        <v>29</v>
      </c>
      <c r="E666" s="7" t="str">
        <f t="shared" si="10"/>
        <v/>
      </c>
      <c r="F666" s="6" t="s">
        <v>29</v>
      </c>
      <c r="G666" s="6" t="s">
        <v>29</v>
      </c>
      <c r="H666" s="8" t="str">
        <f>IF(A666="","",Bibliotheques!$B$5&amp;IF(RIGHT(Bibliotheques!$B$5,1)="/","","/")&amp;SUBSTITUTE(A666," ","%20"))</f>
        <v/>
      </c>
      <c r="I666" s="6" t="s">
        <v>29</v>
      </c>
      <c r="J666" s="6" t="s">
        <v>29</v>
      </c>
    </row>
    <row r="667" spans="1:10" ht="33.950000000000003" customHeight="1">
      <c r="A667" s="6" t="s">
        <v>29</v>
      </c>
      <c r="B667" s="6" t="s">
        <v>29</v>
      </c>
      <c r="C667" s="7" t="str">
        <f>IF(A667="","",IFERROR(IF(VLOOKUP(B667,Bibliotheques!$A$10:$B$59,2,FALSE)=0,"Nom manquant",VLOOKUP(B667,Bibliotheques!$A$10:$B$59,2,FALSE)),"Clé inconnue"))</f>
        <v/>
      </c>
      <c r="D667" s="6" t="s">
        <v>29</v>
      </c>
      <c r="E667" s="7" t="str">
        <f t="shared" si="10"/>
        <v/>
      </c>
      <c r="F667" s="6" t="s">
        <v>29</v>
      </c>
      <c r="G667" s="6" t="s">
        <v>29</v>
      </c>
      <c r="H667" s="8" t="str">
        <f>IF(A667="","",Bibliotheques!$B$5&amp;IF(RIGHT(Bibliotheques!$B$5,1)="/","","/")&amp;SUBSTITUTE(A667," ","%20"))</f>
        <v/>
      </c>
      <c r="I667" s="6" t="s">
        <v>29</v>
      </c>
      <c r="J667" s="6" t="s">
        <v>29</v>
      </c>
    </row>
    <row r="668" spans="1:10" ht="33.950000000000003" customHeight="1">
      <c r="A668" s="6" t="s">
        <v>29</v>
      </c>
      <c r="B668" s="6" t="s">
        <v>29</v>
      </c>
      <c r="C668" s="7" t="str">
        <f>IF(A668="","",IFERROR(IF(VLOOKUP(B668,Bibliotheques!$A$10:$B$59,2,FALSE)=0,"Nom manquant",VLOOKUP(B668,Bibliotheques!$A$10:$B$59,2,FALSE)),"Clé inconnue"))</f>
        <v/>
      </c>
      <c r="D668" s="6" t="s">
        <v>29</v>
      </c>
      <c r="E668" s="7" t="str">
        <f t="shared" si="10"/>
        <v/>
      </c>
      <c r="F668" s="6" t="s">
        <v>29</v>
      </c>
      <c r="G668" s="6" t="s">
        <v>29</v>
      </c>
      <c r="H668" s="8" t="str">
        <f>IF(A668="","",Bibliotheques!$B$5&amp;IF(RIGHT(Bibliotheques!$B$5,1)="/","","/")&amp;SUBSTITUTE(A668," ","%20"))</f>
        <v/>
      </c>
      <c r="I668" s="6" t="s">
        <v>29</v>
      </c>
      <c r="J668" s="6" t="s">
        <v>29</v>
      </c>
    </row>
    <row r="669" spans="1:10" ht="33.950000000000003" customHeight="1">
      <c r="A669" s="6" t="s">
        <v>29</v>
      </c>
      <c r="B669" s="6" t="s">
        <v>29</v>
      </c>
      <c r="C669" s="7" t="str">
        <f>IF(A669="","",IFERROR(IF(VLOOKUP(B669,Bibliotheques!$A$10:$B$59,2,FALSE)=0,"Nom manquant",VLOOKUP(B669,Bibliotheques!$A$10:$B$59,2,FALSE)),"Clé inconnue"))</f>
        <v/>
      </c>
      <c r="D669" s="6" t="s">
        <v>29</v>
      </c>
      <c r="E669" s="7" t="str">
        <f t="shared" si="10"/>
        <v/>
      </c>
      <c r="F669" s="6" t="s">
        <v>29</v>
      </c>
      <c r="G669" s="6" t="s">
        <v>29</v>
      </c>
      <c r="H669" s="8" t="str">
        <f>IF(A669="","",Bibliotheques!$B$5&amp;IF(RIGHT(Bibliotheques!$B$5,1)="/","","/")&amp;SUBSTITUTE(A669," ","%20"))</f>
        <v/>
      </c>
      <c r="I669" s="6" t="s">
        <v>29</v>
      </c>
      <c r="J669" s="6" t="s">
        <v>29</v>
      </c>
    </row>
    <row r="670" spans="1:10" ht="33.950000000000003" customHeight="1">
      <c r="A670" s="6" t="s">
        <v>29</v>
      </c>
      <c r="B670" s="6" t="s">
        <v>29</v>
      </c>
      <c r="C670" s="7" t="str">
        <f>IF(A670="","",IFERROR(IF(VLOOKUP(B670,Bibliotheques!$A$10:$B$59,2,FALSE)=0,"Nom manquant",VLOOKUP(B670,Bibliotheques!$A$10:$B$59,2,FALSE)),"Clé inconnue"))</f>
        <v/>
      </c>
      <c r="D670" s="6" t="s">
        <v>29</v>
      </c>
      <c r="E670" s="7" t="str">
        <f t="shared" si="10"/>
        <v/>
      </c>
      <c r="F670" s="6" t="s">
        <v>29</v>
      </c>
      <c r="G670" s="6" t="s">
        <v>29</v>
      </c>
      <c r="H670" s="8" t="str">
        <f>IF(A670="","",Bibliotheques!$B$5&amp;IF(RIGHT(Bibliotheques!$B$5,1)="/","","/")&amp;SUBSTITUTE(A670," ","%20"))</f>
        <v/>
      </c>
      <c r="I670" s="6" t="s">
        <v>29</v>
      </c>
      <c r="J670" s="6" t="s">
        <v>29</v>
      </c>
    </row>
    <row r="671" spans="1:10" ht="33.950000000000003" customHeight="1">
      <c r="A671" s="6" t="s">
        <v>29</v>
      </c>
      <c r="B671" s="6" t="s">
        <v>29</v>
      </c>
      <c r="C671" s="7" t="str">
        <f>IF(A671="","",IFERROR(IF(VLOOKUP(B671,Bibliotheques!$A$10:$B$59,2,FALSE)=0,"Nom manquant",VLOOKUP(B671,Bibliotheques!$A$10:$B$59,2,FALSE)),"Clé inconnue"))</f>
        <v/>
      </c>
      <c r="D671" s="6" t="s">
        <v>29</v>
      </c>
      <c r="E671" s="7" t="str">
        <f t="shared" si="10"/>
        <v/>
      </c>
      <c r="F671" s="6" t="s">
        <v>29</v>
      </c>
      <c r="G671" s="6" t="s">
        <v>29</v>
      </c>
      <c r="H671" s="8" t="str">
        <f>IF(A671="","",Bibliotheques!$B$5&amp;IF(RIGHT(Bibliotheques!$B$5,1)="/","","/")&amp;SUBSTITUTE(A671," ","%20"))</f>
        <v/>
      </c>
      <c r="I671" s="6" t="s">
        <v>29</v>
      </c>
      <c r="J671" s="6" t="s">
        <v>29</v>
      </c>
    </row>
    <row r="672" spans="1:10" ht="33.950000000000003" customHeight="1">
      <c r="A672" s="6" t="s">
        <v>29</v>
      </c>
      <c r="B672" s="6" t="s">
        <v>29</v>
      </c>
      <c r="C672" s="7" t="str">
        <f>IF(A672="","",IFERROR(IF(VLOOKUP(B672,Bibliotheques!$A$10:$B$59,2,FALSE)=0,"Nom manquant",VLOOKUP(B672,Bibliotheques!$A$10:$B$59,2,FALSE)),"Clé inconnue"))</f>
        <v/>
      </c>
      <c r="D672" s="6" t="s">
        <v>29</v>
      </c>
      <c r="E672" s="7" t="str">
        <f t="shared" si="10"/>
        <v/>
      </c>
      <c r="F672" s="6" t="s">
        <v>29</v>
      </c>
      <c r="G672" s="6" t="s">
        <v>29</v>
      </c>
      <c r="H672" s="8" t="str">
        <f>IF(A672="","",Bibliotheques!$B$5&amp;IF(RIGHT(Bibliotheques!$B$5,1)="/","","/")&amp;SUBSTITUTE(A672," ","%20"))</f>
        <v/>
      </c>
      <c r="I672" s="6" t="s">
        <v>29</v>
      </c>
      <c r="J672" s="6" t="s">
        <v>29</v>
      </c>
    </row>
    <row r="673" spans="1:10" ht="33.950000000000003" customHeight="1">
      <c r="A673" s="6" t="s">
        <v>29</v>
      </c>
      <c r="B673" s="6" t="s">
        <v>29</v>
      </c>
      <c r="C673" s="7" t="str">
        <f>IF(A673="","",IFERROR(IF(VLOOKUP(B673,Bibliotheques!$A$10:$B$59,2,FALSE)=0,"Nom manquant",VLOOKUP(B673,Bibliotheques!$A$10:$B$59,2,FALSE)),"Clé inconnue"))</f>
        <v/>
      </c>
      <c r="D673" s="6" t="s">
        <v>29</v>
      </c>
      <c r="E673" s="7" t="str">
        <f t="shared" si="10"/>
        <v/>
      </c>
      <c r="F673" s="6" t="s">
        <v>29</v>
      </c>
      <c r="G673" s="6" t="s">
        <v>29</v>
      </c>
      <c r="H673" s="8" t="str">
        <f>IF(A673="","",Bibliotheques!$B$5&amp;IF(RIGHT(Bibliotheques!$B$5,1)="/","","/")&amp;SUBSTITUTE(A673," ","%20"))</f>
        <v/>
      </c>
      <c r="I673" s="6" t="s">
        <v>29</v>
      </c>
      <c r="J673" s="6" t="s">
        <v>29</v>
      </c>
    </row>
    <row r="674" spans="1:10" ht="33.950000000000003" customHeight="1">
      <c r="A674" s="6" t="s">
        <v>29</v>
      </c>
      <c r="B674" s="6" t="s">
        <v>29</v>
      </c>
      <c r="C674" s="7" t="str">
        <f>IF(A674="","",IFERROR(IF(VLOOKUP(B674,Bibliotheques!$A$10:$B$59,2,FALSE)=0,"Nom manquant",VLOOKUP(B674,Bibliotheques!$A$10:$B$59,2,FALSE)),"Clé inconnue"))</f>
        <v/>
      </c>
      <c r="D674" s="6" t="s">
        <v>29</v>
      </c>
      <c r="E674" s="7" t="str">
        <f t="shared" si="10"/>
        <v/>
      </c>
      <c r="F674" s="6" t="s">
        <v>29</v>
      </c>
      <c r="G674" s="6" t="s">
        <v>29</v>
      </c>
      <c r="H674" s="8" t="str">
        <f>IF(A674="","",Bibliotheques!$B$5&amp;IF(RIGHT(Bibliotheques!$B$5,1)="/","","/")&amp;SUBSTITUTE(A674," ","%20"))</f>
        <v/>
      </c>
      <c r="I674" s="6" t="s">
        <v>29</v>
      </c>
      <c r="J674" s="6" t="s">
        <v>29</v>
      </c>
    </row>
    <row r="675" spans="1:10" ht="33.950000000000003" customHeight="1">
      <c r="A675" s="6" t="s">
        <v>29</v>
      </c>
      <c r="B675" s="6" t="s">
        <v>29</v>
      </c>
      <c r="C675" s="7" t="str">
        <f>IF(A675="","",IFERROR(IF(VLOOKUP(B675,Bibliotheques!$A$10:$B$59,2,FALSE)=0,"Nom manquant",VLOOKUP(B675,Bibliotheques!$A$10:$B$59,2,FALSE)),"Clé inconnue"))</f>
        <v/>
      </c>
      <c r="D675" s="6" t="s">
        <v>29</v>
      </c>
      <c r="E675" s="7" t="str">
        <f t="shared" si="10"/>
        <v/>
      </c>
      <c r="F675" s="6" t="s">
        <v>29</v>
      </c>
      <c r="G675" s="6" t="s">
        <v>29</v>
      </c>
      <c r="H675" s="8" t="str">
        <f>IF(A675="","",Bibliotheques!$B$5&amp;IF(RIGHT(Bibliotheques!$B$5,1)="/","","/")&amp;SUBSTITUTE(A675," ","%20"))</f>
        <v/>
      </c>
      <c r="I675" s="6" t="s">
        <v>29</v>
      </c>
      <c r="J675" s="6" t="s">
        <v>29</v>
      </c>
    </row>
    <row r="676" spans="1:10" ht="33.950000000000003" customHeight="1">
      <c r="A676" s="6" t="s">
        <v>29</v>
      </c>
      <c r="B676" s="6" t="s">
        <v>29</v>
      </c>
      <c r="C676" s="7" t="str">
        <f>IF(A676="","",IFERROR(IF(VLOOKUP(B676,Bibliotheques!$A$10:$B$59,2,FALSE)=0,"Nom manquant",VLOOKUP(B676,Bibliotheques!$A$10:$B$59,2,FALSE)),"Clé inconnue"))</f>
        <v/>
      </c>
      <c r="D676" s="6" t="s">
        <v>29</v>
      </c>
      <c r="E676" s="7" t="str">
        <f t="shared" si="10"/>
        <v/>
      </c>
      <c r="F676" s="6" t="s">
        <v>29</v>
      </c>
      <c r="G676" s="6" t="s">
        <v>29</v>
      </c>
      <c r="H676" s="8" t="str">
        <f>IF(A676="","",Bibliotheques!$B$5&amp;IF(RIGHT(Bibliotheques!$B$5,1)="/","","/")&amp;SUBSTITUTE(A676," ","%20"))</f>
        <v/>
      </c>
      <c r="I676" s="6" t="s">
        <v>29</v>
      </c>
      <c r="J676" s="6" t="s">
        <v>29</v>
      </c>
    </row>
    <row r="677" spans="1:10" ht="33.950000000000003" customHeight="1">
      <c r="A677" s="6" t="s">
        <v>29</v>
      </c>
      <c r="B677" s="6" t="s">
        <v>29</v>
      </c>
      <c r="C677" s="7" t="str">
        <f>IF(A677="","",IFERROR(IF(VLOOKUP(B677,Bibliotheques!$A$10:$B$59,2,FALSE)=0,"Nom manquant",VLOOKUP(B677,Bibliotheques!$A$10:$B$59,2,FALSE)),"Clé inconnue"))</f>
        <v/>
      </c>
      <c r="D677" s="6" t="s">
        <v>29</v>
      </c>
      <c r="E677" s="7" t="str">
        <f t="shared" si="10"/>
        <v/>
      </c>
      <c r="F677" s="6" t="s">
        <v>29</v>
      </c>
      <c r="G677" s="6" t="s">
        <v>29</v>
      </c>
      <c r="H677" s="8" t="str">
        <f>IF(A677="","",Bibliotheques!$B$5&amp;IF(RIGHT(Bibliotheques!$B$5,1)="/","","/")&amp;SUBSTITUTE(A677," ","%20"))</f>
        <v/>
      </c>
      <c r="I677" s="6" t="s">
        <v>29</v>
      </c>
      <c r="J677" s="6" t="s">
        <v>29</v>
      </c>
    </row>
    <row r="678" spans="1:10" ht="33.950000000000003" customHeight="1">
      <c r="A678" s="6" t="s">
        <v>29</v>
      </c>
      <c r="B678" s="6" t="s">
        <v>29</v>
      </c>
      <c r="C678" s="7" t="str">
        <f>IF(A678="","",IFERROR(IF(VLOOKUP(B678,Bibliotheques!$A$10:$B$59,2,FALSE)=0,"Nom manquant",VLOOKUP(B678,Bibliotheques!$A$10:$B$59,2,FALSE)),"Clé inconnue"))</f>
        <v/>
      </c>
      <c r="D678" s="6" t="s">
        <v>29</v>
      </c>
      <c r="E678" s="7" t="str">
        <f t="shared" si="10"/>
        <v/>
      </c>
      <c r="F678" s="6" t="s">
        <v>29</v>
      </c>
      <c r="G678" s="6" t="s">
        <v>29</v>
      </c>
      <c r="H678" s="8" t="str">
        <f>IF(A678="","",Bibliotheques!$B$5&amp;IF(RIGHT(Bibliotheques!$B$5,1)="/","","/")&amp;SUBSTITUTE(A678," ","%20"))</f>
        <v/>
      </c>
      <c r="I678" s="6" t="s">
        <v>29</v>
      </c>
      <c r="J678" s="6" t="s">
        <v>29</v>
      </c>
    </row>
    <row r="679" spans="1:10" ht="33.950000000000003" customHeight="1">
      <c r="A679" s="6" t="s">
        <v>29</v>
      </c>
      <c r="B679" s="6" t="s">
        <v>29</v>
      </c>
      <c r="C679" s="7" t="str">
        <f>IF(A679="","",IFERROR(IF(VLOOKUP(B679,Bibliotheques!$A$10:$B$59,2,FALSE)=0,"Nom manquant",VLOOKUP(B679,Bibliotheques!$A$10:$B$59,2,FALSE)),"Clé inconnue"))</f>
        <v/>
      </c>
      <c r="D679" s="6" t="s">
        <v>29</v>
      </c>
      <c r="E679" s="7" t="str">
        <f t="shared" si="10"/>
        <v/>
      </c>
      <c r="F679" s="6" t="s">
        <v>29</v>
      </c>
      <c r="G679" s="6" t="s">
        <v>29</v>
      </c>
      <c r="H679" s="8" t="str">
        <f>IF(A679="","",Bibliotheques!$B$5&amp;IF(RIGHT(Bibliotheques!$B$5,1)="/","","/")&amp;SUBSTITUTE(A679," ","%20"))</f>
        <v/>
      </c>
      <c r="I679" s="6" t="s">
        <v>29</v>
      </c>
      <c r="J679" s="6" t="s">
        <v>29</v>
      </c>
    </row>
    <row r="680" spans="1:10" ht="33.950000000000003" customHeight="1">
      <c r="A680" s="6" t="s">
        <v>29</v>
      </c>
      <c r="B680" s="6" t="s">
        <v>29</v>
      </c>
      <c r="C680" s="7" t="str">
        <f>IF(A680="","",IFERROR(IF(VLOOKUP(B680,Bibliotheques!$A$10:$B$59,2,FALSE)=0,"Nom manquant",VLOOKUP(B680,Bibliotheques!$A$10:$B$59,2,FALSE)),"Clé inconnue"))</f>
        <v/>
      </c>
      <c r="D680" s="6" t="s">
        <v>29</v>
      </c>
      <c r="E680" s="7" t="str">
        <f t="shared" si="10"/>
        <v/>
      </c>
      <c r="F680" s="6" t="s">
        <v>29</v>
      </c>
      <c r="G680" s="6" t="s">
        <v>29</v>
      </c>
      <c r="H680" s="8" t="str">
        <f>IF(A680="","",Bibliotheques!$B$5&amp;IF(RIGHT(Bibliotheques!$B$5,1)="/","","/")&amp;SUBSTITUTE(A680," ","%20"))</f>
        <v/>
      </c>
      <c r="I680" s="6" t="s">
        <v>29</v>
      </c>
      <c r="J680" s="6" t="s">
        <v>29</v>
      </c>
    </row>
    <row r="681" spans="1:10" ht="33.950000000000003" customHeight="1">
      <c r="A681" s="6" t="s">
        <v>29</v>
      </c>
      <c r="B681" s="6" t="s">
        <v>29</v>
      </c>
      <c r="C681" s="7" t="str">
        <f>IF(A681="","",IFERROR(IF(VLOOKUP(B681,Bibliotheques!$A$10:$B$59,2,FALSE)=0,"Nom manquant",VLOOKUP(B681,Bibliotheques!$A$10:$B$59,2,FALSE)),"Clé inconnue"))</f>
        <v/>
      </c>
      <c r="D681" s="6" t="s">
        <v>29</v>
      </c>
      <c r="E681" s="7" t="str">
        <f t="shared" si="10"/>
        <v/>
      </c>
      <c r="F681" s="6" t="s">
        <v>29</v>
      </c>
      <c r="G681" s="6" t="s">
        <v>29</v>
      </c>
      <c r="H681" s="8" t="str">
        <f>IF(A681="","",Bibliotheques!$B$5&amp;IF(RIGHT(Bibliotheques!$B$5,1)="/","","/")&amp;SUBSTITUTE(A681," ","%20"))</f>
        <v/>
      </c>
      <c r="I681" s="6" t="s">
        <v>29</v>
      </c>
      <c r="J681" s="6" t="s">
        <v>29</v>
      </c>
    </row>
    <row r="682" spans="1:10" ht="33.950000000000003" customHeight="1">
      <c r="A682" s="6" t="s">
        <v>29</v>
      </c>
      <c r="B682" s="6" t="s">
        <v>29</v>
      </c>
      <c r="C682" s="7" t="str">
        <f>IF(A682="","",IFERROR(IF(VLOOKUP(B682,Bibliotheques!$A$10:$B$59,2,FALSE)=0,"Nom manquant",VLOOKUP(B682,Bibliotheques!$A$10:$B$59,2,FALSE)),"Clé inconnue"))</f>
        <v/>
      </c>
      <c r="D682" s="6" t="s">
        <v>29</v>
      </c>
      <c r="E682" s="7" t="str">
        <f t="shared" si="10"/>
        <v/>
      </c>
      <c r="F682" s="6" t="s">
        <v>29</v>
      </c>
      <c r="G682" s="6" t="s">
        <v>29</v>
      </c>
      <c r="H682" s="8" t="str">
        <f>IF(A682="","",Bibliotheques!$B$5&amp;IF(RIGHT(Bibliotheques!$B$5,1)="/","","/")&amp;SUBSTITUTE(A682," ","%20"))</f>
        <v/>
      </c>
      <c r="I682" s="6" t="s">
        <v>29</v>
      </c>
      <c r="J682" s="6" t="s">
        <v>29</v>
      </c>
    </row>
    <row r="683" spans="1:10" ht="33.950000000000003" customHeight="1">
      <c r="A683" s="6" t="s">
        <v>29</v>
      </c>
      <c r="B683" s="6" t="s">
        <v>29</v>
      </c>
      <c r="C683" s="7" t="str">
        <f>IF(A683="","",IFERROR(IF(VLOOKUP(B683,Bibliotheques!$A$10:$B$59,2,FALSE)=0,"Nom manquant",VLOOKUP(B683,Bibliotheques!$A$10:$B$59,2,FALSE)),"Clé inconnue"))</f>
        <v/>
      </c>
      <c r="D683" s="6" t="s">
        <v>29</v>
      </c>
      <c r="E683" s="7" t="str">
        <f t="shared" si="10"/>
        <v/>
      </c>
      <c r="F683" s="6" t="s">
        <v>29</v>
      </c>
      <c r="G683" s="6" t="s">
        <v>29</v>
      </c>
      <c r="H683" s="8" t="str">
        <f>IF(A683="","",Bibliotheques!$B$5&amp;IF(RIGHT(Bibliotheques!$B$5,1)="/","","/")&amp;SUBSTITUTE(A683," ","%20"))</f>
        <v/>
      </c>
      <c r="I683" s="6" t="s">
        <v>29</v>
      </c>
      <c r="J683" s="6" t="s">
        <v>29</v>
      </c>
    </row>
    <row r="684" spans="1:10" ht="33.950000000000003" customHeight="1">
      <c r="A684" s="6" t="s">
        <v>29</v>
      </c>
      <c r="B684" s="6" t="s">
        <v>29</v>
      </c>
      <c r="C684" s="7" t="str">
        <f>IF(A684="","",IFERROR(IF(VLOOKUP(B684,Bibliotheques!$A$10:$B$59,2,FALSE)=0,"Nom manquant",VLOOKUP(B684,Bibliotheques!$A$10:$B$59,2,FALSE)),"Clé inconnue"))</f>
        <v/>
      </c>
      <c r="D684" s="6" t="s">
        <v>29</v>
      </c>
      <c r="E684" s="7" t="str">
        <f t="shared" si="10"/>
        <v/>
      </c>
      <c r="F684" s="6" t="s">
        <v>29</v>
      </c>
      <c r="G684" s="6" t="s">
        <v>29</v>
      </c>
      <c r="H684" s="8" t="str">
        <f>IF(A684="","",Bibliotheques!$B$5&amp;IF(RIGHT(Bibliotheques!$B$5,1)="/","","/")&amp;SUBSTITUTE(A684," ","%20"))</f>
        <v/>
      </c>
      <c r="I684" s="6" t="s">
        <v>29</v>
      </c>
      <c r="J684" s="6" t="s">
        <v>29</v>
      </c>
    </row>
    <row r="685" spans="1:10" ht="33.950000000000003" customHeight="1">
      <c r="A685" s="6" t="s">
        <v>29</v>
      </c>
      <c r="B685" s="6" t="s">
        <v>29</v>
      </c>
      <c r="C685" s="7" t="str">
        <f>IF(A685="","",IFERROR(IF(VLOOKUP(B685,Bibliotheques!$A$10:$B$59,2,FALSE)=0,"Nom manquant",VLOOKUP(B685,Bibliotheques!$A$10:$B$59,2,FALSE)),"Clé inconnue"))</f>
        <v/>
      </c>
      <c r="D685" s="6" t="s">
        <v>29</v>
      </c>
      <c r="E685" s="7" t="str">
        <f t="shared" si="10"/>
        <v/>
      </c>
      <c r="F685" s="6" t="s">
        <v>29</v>
      </c>
      <c r="G685" s="6" t="s">
        <v>29</v>
      </c>
      <c r="H685" s="8" t="str">
        <f>IF(A685="","",Bibliotheques!$B$5&amp;IF(RIGHT(Bibliotheques!$B$5,1)="/","","/")&amp;SUBSTITUTE(A685," ","%20"))</f>
        <v/>
      </c>
      <c r="I685" s="6" t="s">
        <v>29</v>
      </c>
      <c r="J685" s="6" t="s">
        <v>29</v>
      </c>
    </row>
    <row r="686" spans="1:10" ht="33.950000000000003" customHeight="1">
      <c r="A686" s="6" t="s">
        <v>29</v>
      </c>
      <c r="B686" s="6" t="s">
        <v>29</v>
      </c>
      <c r="C686" s="7" t="str">
        <f>IF(A686="","",IFERROR(IF(VLOOKUP(B686,Bibliotheques!$A$10:$B$59,2,FALSE)=0,"Nom manquant",VLOOKUP(B686,Bibliotheques!$A$10:$B$59,2,FALSE)),"Clé inconnue"))</f>
        <v/>
      </c>
      <c r="D686" s="6" t="s">
        <v>29</v>
      </c>
      <c r="E686" s="7" t="str">
        <f t="shared" si="10"/>
        <v/>
      </c>
      <c r="F686" s="6" t="s">
        <v>29</v>
      </c>
      <c r="G686" s="6" t="s">
        <v>29</v>
      </c>
      <c r="H686" s="8" t="str">
        <f>IF(A686="","",Bibliotheques!$B$5&amp;IF(RIGHT(Bibliotheques!$B$5,1)="/","","/")&amp;SUBSTITUTE(A686," ","%20"))</f>
        <v/>
      </c>
      <c r="I686" s="6" t="s">
        <v>29</v>
      </c>
      <c r="J686" s="6" t="s">
        <v>29</v>
      </c>
    </row>
    <row r="687" spans="1:10" ht="33.950000000000003" customHeight="1">
      <c r="A687" s="6" t="s">
        <v>29</v>
      </c>
      <c r="B687" s="6" t="s">
        <v>29</v>
      </c>
      <c r="C687" s="7" t="str">
        <f>IF(A687="","",IFERROR(IF(VLOOKUP(B687,Bibliotheques!$A$10:$B$59,2,FALSE)=0,"Nom manquant",VLOOKUP(B687,Bibliotheques!$A$10:$B$59,2,FALSE)),"Clé inconnue"))</f>
        <v/>
      </c>
      <c r="D687" s="6" t="s">
        <v>29</v>
      </c>
      <c r="E687" s="7" t="str">
        <f t="shared" si="10"/>
        <v/>
      </c>
      <c r="F687" s="6" t="s">
        <v>29</v>
      </c>
      <c r="G687" s="6" t="s">
        <v>29</v>
      </c>
      <c r="H687" s="8" t="str">
        <f>IF(A687="","",Bibliotheques!$B$5&amp;IF(RIGHT(Bibliotheques!$B$5,1)="/","","/")&amp;SUBSTITUTE(A687," ","%20"))</f>
        <v/>
      </c>
      <c r="I687" s="6" t="s">
        <v>29</v>
      </c>
      <c r="J687" s="6" t="s">
        <v>29</v>
      </c>
    </row>
    <row r="688" spans="1:10" ht="33.950000000000003" customHeight="1">
      <c r="A688" s="6" t="s">
        <v>29</v>
      </c>
      <c r="B688" s="6" t="s">
        <v>29</v>
      </c>
      <c r="C688" s="7" t="str">
        <f>IF(A688="","",IFERROR(IF(VLOOKUP(B688,Bibliotheques!$A$10:$B$59,2,FALSE)=0,"Nom manquant",VLOOKUP(B688,Bibliotheques!$A$10:$B$59,2,FALSE)),"Clé inconnue"))</f>
        <v/>
      </c>
      <c r="D688" s="6" t="s">
        <v>29</v>
      </c>
      <c r="E688" s="7" t="str">
        <f t="shared" si="10"/>
        <v/>
      </c>
      <c r="F688" s="6" t="s">
        <v>29</v>
      </c>
      <c r="G688" s="6" t="s">
        <v>29</v>
      </c>
      <c r="H688" s="8" t="str">
        <f>IF(A688="","",Bibliotheques!$B$5&amp;IF(RIGHT(Bibliotheques!$B$5,1)="/","","/")&amp;SUBSTITUTE(A688," ","%20"))</f>
        <v/>
      </c>
      <c r="I688" s="6" t="s">
        <v>29</v>
      </c>
      <c r="J688" s="6" t="s">
        <v>29</v>
      </c>
    </row>
    <row r="689" spans="1:10" ht="33.950000000000003" customHeight="1">
      <c r="A689" s="6" t="s">
        <v>29</v>
      </c>
      <c r="B689" s="6" t="s">
        <v>29</v>
      </c>
      <c r="C689" s="7" t="str">
        <f>IF(A689="","",IFERROR(IF(VLOOKUP(B689,Bibliotheques!$A$10:$B$59,2,FALSE)=0,"Nom manquant",VLOOKUP(B689,Bibliotheques!$A$10:$B$59,2,FALSE)),"Clé inconnue"))</f>
        <v/>
      </c>
      <c r="D689" s="6" t="s">
        <v>29</v>
      </c>
      <c r="E689" s="7" t="str">
        <f t="shared" si="10"/>
        <v/>
      </c>
      <c r="F689" s="6" t="s">
        <v>29</v>
      </c>
      <c r="G689" s="6" t="s">
        <v>29</v>
      </c>
      <c r="H689" s="8" t="str">
        <f>IF(A689="","",Bibliotheques!$B$5&amp;IF(RIGHT(Bibliotheques!$B$5,1)="/","","/")&amp;SUBSTITUTE(A689," ","%20"))</f>
        <v/>
      </c>
      <c r="I689" s="6" t="s">
        <v>29</v>
      </c>
      <c r="J689" s="6" t="s">
        <v>29</v>
      </c>
    </row>
    <row r="690" spans="1:10" ht="33.950000000000003" customHeight="1">
      <c r="A690" s="6" t="s">
        <v>29</v>
      </c>
      <c r="B690" s="6" t="s">
        <v>29</v>
      </c>
      <c r="C690" s="7" t="str">
        <f>IF(A690="","",IFERROR(IF(VLOOKUP(B690,Bibliotheques!$A$10:$B$59,2,FALSE)=0,"Nom manquant",VLOOKUP(B690,Bibliotheques!$A$10:$B$59,2,FALSE)),"Clé inconnue"))</f>
        <v/>
      </c>
      <c r="D690" s="6" t="s">
        <v>29</v>
      </c>
      <c r="E690" s="7" t="str">
        <f t="shared" si="10"/>
        <v/>
      </c>
      <c r="F690" s="6" t="s">
        <v>29</v>
      </c>
      <c r="G690" s="6" t="s">
        <v>29</v>
      </c>
      <c r="H690" s="8" t="str">
        <f>IF(A690="","",Bibliotheques!$B$5&amp;IF(RIGHT(Bibliotheques!$B$5,1)="/","","/")&amp;SUBSTITUTE(A690," ","%20"))</f>
        <v/>
      </c>
      <c r="I690" s="6" t="s">
        <v>29</v>
      </c>
      <c r="J690" s="6" t="s">
        <v>29</v>
      </c>
    </row>
    <row r="691" spans="1:10" ht="33.950000000000003" customHeight="1">
      <c r="A691" s="6" t="s">
        <v>29</v>
      </c>
      <c r="B691" s="6" t="s">
        <v>29</v>
      </c>
      <c r="C691" s="7" t="str">
        <f>IF(A691="","",IFERROR(IF(VLOOKUP(B691,Bibliotheques!$A$10:$B$59,2,FALSE)=0,"Nom manquant",VLOOKUP(B691,Bibliotheques!$A$10:$B$59,2,FALSE)),"Clé inconnue"))</f>
        <v/>
      </c>
      <c r="D691" s="6" t="s">
        <v>29</v>
      </c>
      <c r="E691" s="7" t="str">
        <f t="shared" si="10"/>
        <v/>
      </c>
      <c r="F691" s="6" t="s">
        <v>29</v>
      </c>
      <c r="G691" s="6" t="s">
        <v>29</v>
      </c>
      <c r="H691" s="8" t="str">
        <f>IF(A691="","",Bibliotheques!$B$5&amp;IF(RIGHT(Bibliotheques!$B$5,1)="/","","/")&amp;SUBSTITUTE(A691," ","%20"))</f>
        <v/>
      </c>
      <c r="I691" s="6" t="s">
        <v>29</v>
      </c>
      <c r="J691" s="6" t="s">
        <v>29</v>
      </c>
    </row>
    <row r="692" spans="1:10" ht="33.950000000000003" customHeight="1">
      <c r="A692" s="6" t="s">
        <v>29</v>
      </c>
      <c r="B692" s="6" t="s">
        <v>29</v>
      </c>
      <c r="C692" s="7" t="str">
        <f>IF(A692="","",IFERROR(IF(VLOOKUP(B692,Bibliotheques!$A$10:$B$59,2,FALSE)=0,"Nom manquant",VLOOKUP(B692,Bibliotheques!$A$10:$B$59,2,FALSE)),"Clé inconnue"))</f>
        <v/>
      </c>
      <c r="D692" s="6" t="s">
        <v>29</v>
      </c>
      <c r="E692" s="7" t="str">
        <f t="shared" si="10"/>
        <v/>
      </c>
      <c r="F692" s="6" t="s">
        <v>29</v>
      </c>
      <c r="G692" s="6" t="s">
        <v>29</v>
      </c>
      <c r="H692" s="8" t="str">
        <f>IF(A692="","",Bibliotheques!$B$5&amp;IF(RIGHT(Bibliotheques!$B$5,1)="/","","/")&amp;SUBSTITUTE(A692," ","%20"))</f>
        <v/>
      </c>
      <c r="I692" s="6" t="s">
        <v>29</v>
      </c>
      <c r="J692" s="6" t="s">
        <v>29</v>
      </c>
    </row>
    <row r="693" spans="1:10" ht="33.950000000000003" customHeight="1">
      <c r="A693" s="6" t="s">
        <v>29</v>
      </c>
      <c r="B693" s="6" t="s">
        <v>29</v>
      </c>
      <c r="C693" s="7" t="str">
        <f>IF(A693="","",IFERROR(IF(VLOOKUP(B693,Bibliotheques!$A$10:$B$59,2,FALSE)=0,"Nom manquant",VLOOKUP(B693,Bibliotheques!$A$10:$B$59,2,FALSE)),"Clé inconnue"))</f>
        <v/>
      </c>
      <c r="D693" s="6" t="s">
        <v>29</v>
      </c>
      <c r="E693" s="7" t="str">
        <f t="shared" si="10"/>
        <v/>
      </c>
      <c r="F693" s="6" t="s">
        <v>29</v>
      </c>
      <c r="G693" s="6" t="s">
        <v>29</v>
      </c>
      <c r="H693" s="8" t="str">
        <f>IF(A693="","",Bibliotheques!$B$5&amp;IF(RIGHT(Bibliotheques!$B$5,1)="/","","/")&amp;SUBSTITUTE(A693," ","%20"))</f>
        <v/>
      </c>
      <c r="I693" s="6" t="s">
        <v>29</v>
      </c>
      <c r="J693" s="6" t="s">
        <v>29</v>
      </c>
    </row>
    <row r="694" spans="1:10" ht="33.950000000000003" customHeight="1">
      <c r="A694" s="6" t="s">
        <v>29</v>
      </c>
      <c r="B694" s="6" t="s">
        <v>29</v>
      </c>
      <c r="C694" s="7" t="str">
        <f>IF(A694="","",IFERROR(IF(VLOOKUP(B694,Bibliotheques!$A$10:$B$59,2,FALSE)=0,"Nom manquant",VLOOKUP(B694,Bibliotheques!$A$10:$B$59,2,FALSE)),"Clé inconnue"))</f>
        <v/>
      </c>
      <c r="D694" s="6" t="s">
        <v>29</v>
      </c>
      <c r="E694" s="7" t="str">
        <f t="shared" si="10"/>
        <v/>
      </c>
      <c r="F694" s="6" t="s">
        <v>29</v>
      </c>
      <c r="G694" s="6" t="s">
        <v>29</v>
      </c>
      <c r="H694" s="8" t="str">
        <f>IF(A694="","",Bibliotheques!$B$5&amp;IF(RIGHT(Bibliotheques!$B$5,1)="/","","/")&amp;SUBSTITUTE(A694," ","%20"))</f>
        <v/>
      </c>
      <c r="I694" s="6" t="s">
        <v>29</v>
      </c>
      <c r="J694" s="6" t="s">
        <v>29</v>
      </c>
    </row>
    <row r="695" spans="1:10" ht="33.950000000000003" customHeight="1">
      <c r="A695" s="6" t="s">
        <v>29</v>
      </c>
      <c r="B695" s="6" t="s">
        <v>29</v>
      </c>
      <c r="C695" s="7" t="str">
        <f>IF(A695="","",IFERROR(IF(VLOOKUP(B695,Bibliotheques!$A$10:$B$59,2,FALSE)=0,"Nom manquant",VLOOKUP(B695,Bibliotheques!$A$10:$B$59,2,FALSE)),"Clé inconnue"))</f>
        <v/>
      </c>
      <c r="D695" s="6" t="s">
        <v>29</v>
      </c>
      <c r="E695" s="7" t="str">
        <f t="shared" si="10"/>
        <v/>
      </c>
      <c r="F695" s="6" t="s">
        <v>29</v>
      </c>
      <c r="G695" s="6" t="s">
        <v>29</v>
      </c>
      <c r="H695" s="8" t="str">
        <f>IF(A695="","",Bibliotheques!$B$5&amp;IF(RIGHT(Bibliotheques!$B$5,1)="/","","/")&amp;SUBSTITUTE(A695," ","%20"))</f>
        <v/>
      </c>
      <c r="I695" s="6" t="s">
        <v>29</v>
      </c>
      <c r="J695" s="6" t="s">
        <v>29</v>
      </c>
    </row>
    <row r="696" spans="1:10" ht="33.950000000000003" customHeight="1">
      <c r="A696" s="6" t="s">
        <v>29</v>
      </c>
      <c r="B696" s="6" t="s">
        <v>29</v>
      </c>
      <c r="C696" s="7" t="str">
        <f>IF(A696="","",IFERROR(IF(VLOOKUP(B696,Bibliotheques!$A$10:$B$59,2,FALSE)=0,"Nom manquant",VLOOKUP(B696,Bibliotheques!$A$10:$B$59,2,FALSE)),"Clé inconnue"))</f>
        <v/>
      </c>
      <c r="D696" s="6" t="s">
        <v>29</v>
      </c>
      <c r="E696" s="7" t="str">
        <f t="shared" si="10"/>
        <v/>
      </c>
      <c r="F696" s="6" t="s">
        <v>29</v>
      </c>
      <c r="G696" s="6" t="s">
        <v>29</v>
      </c>
      <c r="H696" s="8" t="str">
        <f>IF(A696="","",Bibliotheques!$B$5&amp;IF(RIGHT(Bibliotheques!$B$5,1)="/","","/")&amp;SUBSTITUTE(A696," ","%20"))</f>
        <v/>
      </c>
      <c r="I696" s="6" t="s">
        <v>29</v>
      </c>
      <c r="J696" s="6" t="s">
        <v>29</v>
      </c>
    </row>
    <row r="697" spans="1:10" ht="33.950000000000003" customHeight="1">
      <c r="A697" s="6" t="s">
        <v>29</v>
      </c>
      <c r="B697" s="6" t="s">
        <v>29</v>
      </c>
      <c r="C697" s="7" t="str">
        <f>IF(A697="","",IFERROR(IF(VLOOKUP(B697,Bibliotheques!$A$10:$B$59,2,FALSE)=0,"Nom manquant",VLOOKUP(B697,Bibliotheques!$A$10:$B$59,2,FALSE)),"Clé inconnue"))</f>
        <v/>
      </c>
      <c r="D697" s="6" t="s">
        <v>29</v>
      </c>
      <c r="E697" s="7" t="str">
        <f t="shared" si="10"/>
        <v/>
      </c>
      <c r="F697" s="6" t="s">
        <v>29</v>
      </c>
      <c r="G697" s="6" t="s">
        <v>29</v>
      </c>
      <c r="H697" s="8" t="str">
        <f>IF(A697="","",Bibliotheques!$B$5&amp;IF(RIGHT(Bibliotheques!$B$5,1)="/","","/")&amp;SUBSTITUTE(A697," ","%20"))</f>
        <v/>
      </c>
      <c r="I697" s="6" t="s">
        <v>29</v>
      </c>
      <c r="J697" s="6" t="s">
        <v>29</v>
      </c>
    </row>
    <row r="698" spans="1:10" ht="33.950000000000003" customHeight="1">
      <c r="A698" s="6" t="s">
        <v>29</v>
      </c>
      <c r="B698" s="6" t="s">
        <v>29</v>
      </c>
      <c r="C698" s="7" t="str">
        <f>IF(A698="","",IFERROR(IF(VLOOKUP(B698,Bibliotheques!$A$10:$B$59,2,FALSE)=0,"Nom manquant",VLOOKUP(B698,Bibliotheques!$A$10:$B$59,2,FALSE)),"Clé inconnue"))</f>
        <v/>
      </c>
      <c r="D698" s="6" t="s">
        <v>29</v>
      </c>
      <c r="E698" s="7" t="str">
        <f t="shared" si="10"/>
        <v/>
      </c>
      <c r="F698" s="6" t="s">
        <v>29</v>
      </c>
      <c r="G698" s="6" t="s">
        <v>29</v>
      </c>
      <c r="H698" s="8" t="str">
        <f>IF(A698="","",Bibliotheques!$B$5&amp;IF(RIGHT(Bibliotheques!$B$5,1)="/","","/")&amp;SUBSTITUTE(A698," ","%20"))</f>
        <v/>
      </c>
      <c r="I698" s="6" t="s">
        <v>29</v>
      </c>
      <c r="J698" s="6" t="s">
        <v>29</v>
      </c>
    </row>
    <row r="699" spans="1:10" ht="33.950000000000003" customHeight="1">
      <c r="A699" s="6" t="s">
        <v>29</v>
      </c>
      <c r="B699" s="6" t="s">
        <v>29</v>
      </c>
      <c r="C699" s="7" t="str">
        <f>IF(A699="","",IFERROR(IF(VLOOKUP(B699,Bibliotheques!$A$10:$B$59,2,FALSE)=0,"Nom manquant",VLOOKUP(B699,Bibliotheques!$A$10:$B$59,2,FALSE)),"Clé inconnue"))</f>
        <v/>
      </c>
      <c r="D699" s="6" t="s">
        <v>29</v>
      </c>
      <c r="E699" s="7" t="str">
        <f t="shared" si="10"/>
        <v/>
      </c>
      <c r="F699" s="6" t="s">
        <v>29</v>
      </c>
      <c r="G699" s="6" t="s">
        <v>29</v>
      </c>
      <c r="H699" s="8" t="str">
        <f>IF(A699="","",Bibliotheques!$B$5&amp;IF(RIGHT(Bibliotheques!$B$5,1)="/","","/")&amp;SUBSTITUTE(A699," ","%20"))</f>
        <v/>
      </c>
      <c r="I699" s="6" t="s">
        <v>29</v>
      </c>
      <c r="J699" s="6" t="s">
        <v>29</v>
      </c>
    </row>
    <row r="700" spans="1:10" ht="33.950000000000003" customHeight="1">
      <c r="A700" s="6" t="s">
        <v>29</v>
      </c>
      <c r="B700" s="6" t="s">
        <v>29</v>
      </c>
      <c r="C700" s="7" t="str">
        <f>IF(A700="","",IFERROR(IF(VLOOKUP(B700,Bibliotheques!$A$10:$B$59,2,FALSE)=0,"Nom manquant",VLOOKUP(B700,Bibliotheques!$A$10:$B$59,2,FALSE)),"Clé inconnue"))</f>
        <v/>
      </c>
      <c r="D700" s="6" t="s">
        <v>29</v>
      </c>
      <c r="E700" s="7" t="str">
        <f t="shared" si="10"/>
        <v/>
      </c>
      <c r="F700" s="6" t="s">
        <v>29</v>
      </c>
      <c r="G700" s="6" t="s">
        <v>29</v>
      </c>
      <c r="H700" s="8" t="str">
        <f>IF(A700="","",Bibliotheques!$B$5&amp;IF(RIGHT(Bibliotheques!$B$5,1)="/","","/")&amp;SUBSTITUTE(A700," ","%20"))</f>
        <v/>
      </c>
      <c r="I700" s="6" t="s">
        <v>29</v>
      </c>
      <c r="J700" s="6" t="s">
        <v>29</v>
      </c>
    </row>
    <row r="701" spans="1:10" ht="33.950000000000003" customHeight="1">
      <c r="A701" s="6" t="s">
        <v>29</v>
      </c>
      <c r="B701" s="6" t="s">
        <v>29</v>
      </c>
      <c r="C701" s="7" t="str">
        <f>IF(A701="","",IFERROR(IF(VLOOKUP(B701,Bibliotheques!$A$10:$B$59,2,FALSE)=0,"Nom manquant",VLOOKUP(B701,Bibliotheques!$A$10:$B$59,2,FALSE)),"Clé inconnue"))</f>
        <v/>
      </c>
      <c r="D701" s="6" t="s">
        <v>29</v>
      </c>
      <c r="E701" s="7" t="str">
        <f t="shared" si="10"/>
        <v/>
      </c>
      <c r="F701" s="6" t="s">
        <v>29</v>
      </c>
      <c r="G701" s="6" t="s">
        <v>29</v>
      </c>
      <c r="H701" s="8" t="str">
        <f>IF(A701="","",Bibliotheques!$B$5&amp;IF(RIGHT(Bibliotheques!$B$5,1)="/","","/")&amp;SUBSTITUTE(A701," ","%20"))</f>
        <v/>
      </c>
      <c r="I701" s="6" t="s">
        <v>29</v>
      </c>
      <c r="J701" s="6" t="s">
        <v>29</v>
      </c>
    </row>
    <row r="702" spans="1:10" ht="33.950000000000003" customHeight="1">
      <c r="A702" s="6" t="s">
        <v>29</v>
      </c>
      <c r="B702" s="6" t="s">
        <v>29</v>
      </c>
      <c r="C702" s="7" t="str">
        <f>IF(A702="","",IFERROR(IF(VLOOKUP(B702,Bibliotheques!$A$10:$B$59,2,FALSE)=0,"Nom manquant",VLOOKUP(B702,Bibliotheques!$A$10:$B$59,2,FALSE)),"Clé inconnue"))</f>
        <v/>
      </c>
      <c r="D702" s="6" t="s">
        <v>29</v>
      </c>
      <c r="E702" s="7" t="str">
        <f t="shared" si="10"/>
        <v/>
      </c>
      <c r="F702" s="6" t="s">
        <v>29</v>
      </c>
      <c r="G702" s="6" t="s">
        <v>29</v>
      </c>
      <c r="H702" s="8" t="str">
        <f>IF(A702="","",Bibliotheques!$B$5&amp;IF(RIGHT(Bibliotheques!$B$5,1)="/","","/")&amp;SUBSTITUTE(A702," ","%20"))</f>
        <v/>
      </c>
      <c r="I702" s="6" t="s">
        <v>29</v>
      </c>
      <c r="J702" s="6" t="s">
        <v>29</v>
      </c>
    </row>
    <row r="703" spans="1:10" ht="33.950000000000003" customHeight="1">
      <c r="A703" s="6" t="s">
        <v>29</v>
      </c>
      <c r="B703" s="6" t="s">
        <v>29</v>
      </c>
      <c r="C703" s="7" t="str">
        <f>IF(A703="","",IFERROR(IF(VLOOKUP(B703,Bibliotheques!$A$10:$B$59,2,FALSE)=0,"Nom manquant",VLOOKUP(B703,Bibliotheques!$A$10:$B$59,2,FALSE)),"Clé inconnue"))</f>
        <v/>
      </c>
      <c r="D703" s="6" t="s">
        <v>29</v>
      </c>
      <c r="E703" s="7" t="str">
        <f t="shared" si="10"/>
        <v/>
      </c>
      <c r="F703" s="6" t="s">
        <v>29</v>
      </c>
      <c r="G703" s="6" t="s">
        <v>29</v>
      </c>
      <c r="H703" s="8" t="str">
        <f>IF(A703="","",Bibliotheques!$B$5&amp;IF(RIGHT(Bibliotheques!$B$5,1)="/","","/")&amp;SUBSTITUTE(A703," ","%20"))</f>
        <v/>
      </c>
      <c r="I703" s="6" t="s">
        <v>29</v>
      </c>
      <c r="J703" s="6" t="s">
        <v>29</v>
      </c>
    </row>
    <row r="704" spans="1:10" ht="33.950000000000003" customHeight="1">
      <c r="A704" s="6" t="s">
        <v>29</v>
      </c>
      <c r="B704" s="6" t="s">
        <v>29</v>
      </c>
      <c r="C704" s="7" t="str">
        <f>IF(A704="","",IFERROR(IF(VLOOKUP(B704,Bibliotheques!$A$10:$B$59,2,FALSE)=0,"Nom manquant",VLOOKUP(B704,Bibliotheques!$A$10:$B$59,2,FALSE)),"Clé inconnue"))</f>
        <v/>
      </c>
      <c r="D704" s="6" t="s">
        <v>29</v>
      </c>
      <c r="E704" s="7" t="str">
        <f t="shared" si="10"/>
        <v/>
      </c>
      <c r="F704" s="6" t="s">
        <v>29</v>
      </c>
      <c r="G704" s="6" t="s">
        <v>29</v>
      </c>
      <c r="H704" s="8" t="str">
        <f>IF(A704="","",Bibliotheques!$B$5&amp;IF(RIGHT(Bibliotheques!$B$5,1)="/","","/")&amp;SUBSTITUTE(A704," ","%20"))</f>
        <v/>
      </c>
      <c r="I704" s="6" t="s">
        <v>29</v>
      </c>
      <c r="J704" s="6" t="s">
        <v>29</v>
      </c>
    </row>
    <row r="705" spans="1:10" ht="33.950000000000003" customHeight="1">
      <c r="A705" s="6" t="s">
        <v>29</v>
      </c>
      <c r="B705" s="6" t="s">
        <v>29</v>
      </c>
      <c r="C705" s="7" t="str">
        <f>IF(A705="","",IFERROR(IF(VLOOKUP(B705,Bibliotheques!$A$10:$B$59,2,FALSE)=0,"Nom manquant",VLOOKUP(B705,Bibliotheques!$A$10:$B$59,2,FALSE)),"Clé inconnue"))</f>
        <v/>
      </c>
      <c r="D705" s="6" t="s">
        <v>29</v>
      </c>
      <c r="E705" s="7" t="str">
        <f t="shared" si="10"/>
        <v/>
      </c>
      <c r="F705" s="6" t="s">
        <v>29</v>
      </c>
      <c r="G705" s="6" t="s">
        <v>29</v>
      </c>
      <c r="H705" s="8" t="str">
        <f>IF(A705="","",Bibliotheques!$B$5&amp;IF(RIGHT(Bibliotheques!$B$5,1)="/","","/")&amp;SUBSTITUTE(A705," ","%20"))</f>
        <v/>
      </c>
      <c r="I705" s="6" t="s">
        <v>29</v>
      </c>
      <c r="J705" s="6" t="s">
        <v>29</v>
      </c>
    </row>
    <row r="706" spans="1:10" ht="33.950000000000003" customHeight="1">
      <c r="A706" s="6" t="s">
        <v>29</v>
      </c>
      <c r="B706" s="6" t="s">
        <v>29</v>
      </c>
      <c r="C706" s="7" t="str">
        <f>IF(A706="","",IFERROR(IF(VLOOKUP(B706,Bibliotheques!$A$10:$B$59,2,FALSE)=0,"Nom manquant",VLOOKUP(B706,Bibliotheques!$A$10:$B$59,2,FALSE)),"Clé inconnue"))</f>
        <v/>
      </c>
      <c r="D706" s="6" t="s">
        <v>29</v>
      </c>
      <c r="E706" s="7" t="str">
        <f t="shared" si="10"/>
        <v/>
      </c>
      <c r="F706" s="6" t="s">
        <v>29</v>
      </c>
      <c r="G706" s="6" t="s">
        <v>29</v>
      </c>
      <c r="H706" s="8" t="str">
        <f>IF(A706="","",Bibliotheques!$B$5&amp;IF(RIGHT(Bibliotheques!$B$5,1)="/","","/")&amp;SUBSTITUTE(A706," ","%20"))</f>
        <v/>
      </c>
      <c r="I706" s="6" t="s">
        <v>29</v>
      </c>
      <c r="J706" s="6" t="s">
        <v>29</v>
      </c>
    </row>
    <row r="707" spans="1:10" ht="33.950000000000003" customHeight="1">
      <c r="A707" s="6" t="s">
        <v>29</v>
      </c>
      <c r="B707" s="6" t="s">
        <v>29</v>
      </c>
      <c r="C707" s="7" t="str">
        <f>IF(A707="","",IFERROR(IF(VLOOKUP(B707,Bibliotheques!$A$10:$B$59,2,FALSE)=0,"Nom manquant",VLOOKUP(B707,Bibliotheques!$A$10:$B$59,2,FALSE)),"Clé inconnue"))</f>
        <v/>
      </c>
      <c r="D707" s="6" t="s">
        <v>29</v>
      </c>
      <c r="E707" s="7" t="str">
        <f t="shared" si="10"/>
        <v/>
      </c>
      <c r="F707" s="6" t="s">
        <v>29</v>
      </c>
      <c r="G707" s="6" t="s">
        <v>29</v>
      </c>
      <c r="H707" s="8" t="str">
        <f>IF(A707="","",Bibliotheques!$B$5&amp;IF(RIGHT(Bibliotheques!$B$5,1)="/","","/")&amp;SUBSTITUTE(A707," ","%20"))</f>
        <v/>
      </c>
      <c r="I707" s="6" t="s">
        <v>29</v>
      </c>
      <c r="J707" s="6" t="s">
        <v>29</v>
      </c>
    </row>
    <row r="708" spans="1:10" ht="33.950000000000003" customHeight="1">
      <c r="A708" s="6" t="s">
        <v>29</v>
      </c>
      <c r="B708" s="6" t="s">
        <v>29</v>
      </c>
      <c r="C708" s="7" t="str">
        <f>IF(A708="","",IFERROR(IF(VLOOKUP(B708,Bibliotheques!$A$10:$B$59,2,FALSE)=0,"Nom manquant",VLOOKUP(B708,Bibliotheques!$A$10:$B$59,2,FALSE)),"Clé inconnue"))</f>
        <v/>
      </c>
      <c r="D708" s="6" t="s">
        <v>29</v>
      </c>
      <c r="E708" s="7" t="str">
        <f t="shared" si="10"/>
        <v/>
      </c>
      <c r="F708" s="6" t="s">
        <v>29</v>
      </c>
      <c r="G708" s="6" t="s">
        <v>29</v>
      </c>
      <c r="H708" s="8" t="str">
        <f>IF(A708="","",Bibliotheques!$B$5&amp;IF(RIGHT(Bibliotheques!$B$5,1)="/","","/")&amp;SUBSTITUTE(A708," ","%20"))</f>
        <v/>
      </c>
      <c r="I708" s="6" t="s">
        <v>29</v>
      </c>
      <c r="J708" s="6" t="s">
        <v>29</v>
      </c>
    </row>
    <row r="709" spans="1:10" ht="33.950000000000003" customHeight="1">
      <c r="A709" s="6" t="s">
        <v>29</v>
      </c>
      <c r="B709" s="6" t="s">
        <v>29</v>
      </c>
      <c r="C709" s="7" t="str">
        <f>IF(A709="","",IFERROR(IF(VLOOKUP(B709,Bibliotheques!$A$10:$B$59,2,FALSE)=0,"Nom manquant",VLOOKUP(B709,Bibliotheques!$A$10:$B$59,2,FALSE)),"Clé inconnue"))</f>
        <v/>
      </c>
      <c r="D709" s="6" t="s">
        <v>29</v>
      </c>
      <c r="E709" s="7" t="str">
        <f t="shared" si="10"/>
        <v/>
      </c>
      <c r="F709" s="6" t="s">
        <v>29</v>
      </c>
      <c r="G709" s="6" t="s">
        <v>29</v>
      </c>
      <c r="H709" s="8" t="str">
        <f>IF(A709="","",Bibliotheques!$B$5&amp;IF(RIGHT(Bibliotheques!$B$5,1)="/","","/")&amp;SUBSTITUTE(A709," ","%20"))</f>
        <v/>
      </c>
      <c r="I709" s="6" t="s">
        <v>29</v>
      </c>
      <c r="J709" s="6" t="s">
        <v>29</v>
      </c>
    </row>
    <row r="710" spans="1:10" ht="33.950000000000003" customHeight="1">
      <c r="A710" s="6" t="s">
        <v>29</v>
      </c>
      <c r="B710" s="6" t="s">
        <v>29</v>
      </c>
      <c r="C710" s="7" t="str">
        <f>IF(A710="","",IFERROR(IF(VLOOKUP(B710,Bibliotheques!$A$10:$B$59,2,FALSE)=0,"Nom manquant",VLOOKUP(B710,Bibliotheques!$A$10:$B$59,2,FALSE)),"Clé inconnue"))</f>
        <v/>
      </c>
      <c r="D710" s="6" t="s">
        <v>29</v>
      </c>
      <c r="E710" s="7" t="str">
        <f t="shared" ref="E710:E773" si="11">IF(A710="","",LOWER(B710&amp;"-"&amp;SUBSTITUTE(SUBSTITUTE(SUBSTITUTE(LOWER(A710),".svg","")," ","-"),"/","-")))</f>
        <v/>
      </c>
      <c r="F710" s="6" t="s">
        <v>29</v>
      </c>
      <c r="G710" s="6" t="s">
        <v>29</v>
      </c>
      <c r="H710" s="8" t="str">
        <f>IF(A710="","",Bibliotheques!$B$5&amp;IF(RIGHT(Bibliotheques!$B$5,1)="/","","/")&amp;SUBSTITUTE(A710," ","%20"))</f>
        <v/>
      </c>
      <c r="I710" s="6" t="s">
        <v>29</v>
      </c>
      <c r="J710" s="6" t="s">
        <v>29</v>
      </c>
    </row>
    <row r="711" spans="1:10" ht="33.950000000000003" customHeight="1">
      <c r="A711" s="6" t="s">
        <v>29</v>
      </c>
      <c r="B711" s="6" t="s">
        <v>29</v>
      </c>
      <c r="C711" s="7" t="str">
        <f>IF(A711="","",IFERROR(IF(VLOOKUP(B711,Bibliotheques!$A$10:$B$59,2,FALSE)=0,"Nom manquant",VLOOKUP(B711,Bibliotheques!$A$10:$B$59,2,FALSE)),"Clé inconnue"))</f>
        <v/>
      </c>
      <c r="D711" s="6" t="s">
        <v>29</v>
      </c>
      <c r="E711" s="7" t="str">
        <f t="shared" si="11"/>
        <v/>
      </c>
      <c r="F711" s="6" t="s">
        <v>29</v>
      </c>
      <c r="G711" s="6" t="s">
        <v>29</v>
      </c>
      <c r="H711" s="8" t="str">
        <f>IF(A711="","",Bibliotheques!$B$5&amp;IF(RIGHT(Bibliotheques!$B$5,1)="/","","/")&amp;SUBSTITUTE(A711," ","%20"))</f>
        <v/>
      </c>
      <c r="I711" s="6" t="s">
        <v>29</v>
      </c>
      <c r="J711" s="6" t="s">
        <v>29</v>
      </c>
    </row>
    <row r="712" spans="1:10" ht="33.950000000000003" customHeight="1">
      <c r="A712" s="6" t="s">
        <v>29</v>
      </c>
      <c r="B712" s="6" t="s">
        <v>29</v>
      </c>
      <c r="C712" s="7" t="str">
        <f>IF(A712="","",IFERROR(IF(VLOOKUP(B712,Bibliotheques!$A$10:$B$59,2,FALSE)=0,"Nom manquant",VLOOKUP(B712,Bibliotheques!$A$10:$B$59,2,FALSE)),"Clé inconnue"))</f>
        <v/>
      </c>
      <c r="D712" s="6" t="s">
        <v>29</v>
      </c>
      <c r="E712" s="7" t="str">
        <f t="shared" si="11"/>
        <v/>
      </c>
      <c r="F712" s="6" t="s">
        <v>29</v>
      </c>
      <c r="G712" s="6" t="s">
        <v>29</v>
      </c>
      <c r="H712" s="8" t="str">
        <f>IF(A712="","",Bibliotheques!$B$5&amp;IF(RIGHT(Bibliotheques!$B$5,1)="/","","/")&amp;SUBSTITUTE(A712," ","%20"))</f>
        <v/>
      </c>
      <c r="I712" s="6" t="s">
        <v>29</v>
      </c>
      <c r="J712" s="6" t="s">
        <v>29</v>
      </c>
    </row>
    <row r="713" spans="1:10" ht="33.950000000000003" customHeight="1">
      <c r="A713" s="6" t="s">
        <v>29</v>
      </c>
      <c r="B713" s="6" t="s">
        <v>29</v>
      </c>
      <c r="C713" s="7" t="str">
        <f>IF(A713="","",IFERROR(IF(VLOOKUP(B713,Bibliotheques!$A$10:$B$59,2,FALSE)=0,"Nom manquant",VLOOKUP(B713,Bibliotheques!$A$10:$B$59,2,FALSE)),"Clé inconnue"))</f>
        <v/>
      </c>
      <c r="D713" s="6" t="s">
        <v>29</v>
      </c>
      <c r="E713" s="7" t="str">
        <f t="shared" si="11"/>
        <v/>
      </c>
      <c r="F713" s="6" t="s">
        <v>29</v>
      </c>
      <c r="G713" s="6" t="s">
        <v>29</v>
      </c>
      <c r="H713" s="8" t="str">
        <f>IF(A713="","",Bibliotheques!$B$5&amp;IF(RIGHT(Bibliotheques!$B$5,1)="/","","/")&amp;SUBSTITUTE(A713," ","%20"))</f>
        <v/>
      </c>
      <c r="I713" s="6" t="s">
        <v>29</v>
      </c>
      <c r="J713" s="6" t="s">
        <v>29</v>
      </c>
    </row>
    <row r="714" spans="1:10" ht="33.950000000000003" customHeight="1">
      <c r="A714" s="6" t="s">
        <v>29</v>
      </c>
      <c r="B714" s="6" t="s">
        <v>29</v>
      </c>
      <c r="C714" s="7" t="str">
        <f>IF(A714="","",IFERROR(IF(VLOOKUP(B714,Bibliotheques!$A$10:$B$59,2,FALSE)=0,"Nom manquant",VLOOKUP(B714,Bibliotheques!$A$10:$B$59,2,FALSE)),"Clé inconnue"))</f>
        <v/>
      </c>
      <c r="D714" s="6" t="s">
        <v>29</v>
      </c>
      <c r="E714" s="7" t="str">
        <f t="shared" si="11"/>
        <v/>
      </c>
      <c r="F714" s="6" t="s">
        <v>29</v>
      </c>
      <c r="G714" s="6" t="s">
        <v>29</v>
      </c>
      <c r="H714" s="8" t="str">
        <f>IF(A714="","",Bibliotheques!$B$5&amp;IF(RIGHT(Bibliotheques!$B$5,1)="/","","/")&amp;SUBSTITUTE(A714," ","%20"))</f>
        <v/>
      </c>
      <c r="I714" s="6" t="s">
        <v>29</v>
      </c>
      <c r="J714" s="6" t="s">
        <v>29</v>
      </c>
    </row>
    <row r="715" spans="1:10" ht="33.950000000000003" customHeight="1">
      <c r="A715" s="6" t="s">
        <v>29</v>
      </c>
      <c r="B715" s="6" t="s">
        <v>29</v>
      </c>
      <c r="C715" s="7" t="str">
        <f>IF(A715="","",IFERROR(IF(VLOOKUP(B715,Bibliotheques!$A$10:$B$59,2,FALSE)=0,"Nom manquant",VLOOKUP(B715,Bibliotheques!$A$10:$B$59,2,FALSE)),"Clé inconnue"))</f>
        <v/>
      </c>
      <c r="D715" s="6" t="s">
        <v>29</v>
      </c>
      <c r="E715" s="7" t="str">
        <f t="shared" si="11"/>
        <v/>
      </c>
      <c r="F715" s="6" t="s">
        <v>29</v>
      </c>
      <c r="G715" s="6" t="s">
        <v>29</v>
      </c>
      <c r="H715" s="8" t="str">
        <f>IF(A715="","",Bibliotheques!$B$5&amp;IF(RIGHT(Bibliotheques!$B$5,1)="/","","/")&amp;SUBSTITUTE(A715," ","%20"))</f>
        <v/>
      </c>
      <c r="I715" s="6" t="s">
        <v>29</v>
      </c>
      <c r="J715" s="6" t="s">
        <v>29</v>
      </c>
    </row>
    <row r="716" spans="1:10" ht="33.950000000000003" customHeight="1">
      <c r="A716" s="6" t="s">
        <v>29</v>
      </c>
      <c r="B716" s="6" t="s">
        <v>29</v>
      </c>
      <c r="C716" s="7" t="str">
        <f>IF(A716="","",IFERROR(IF(VLOOKUP(B716,Bibliotheques!$A$10:$B$59,2,FALSE)=0,"Nom manquant",VLOOKUP(B716,Bibliotheques!$A$10:$B$59,2,FALSE)),"Clé inconnue"))</f>
        <v/>
      </c>
      <c r="D716" s="6" t="s">
        <v>29</v>
      </c>
      <c r="E716" s="7" t="str">
        <f t="shared" si="11"/>
        <v/>
      </c>
      <c r="F716" s="6" t="s">
        <v>29</v>
      </c>
      <c r="G716" s="6" t="s">
        <v>29</v>
      </c>
      <c r="H716" s="8" t="str">
        <f>IF(A716="","",Bibliotheques!$B$5&amp;IF(RIGHT(Bibliotheques!$B$5,1)="/","","/")&amp;SUBSTITUTE(A716," ","%20"))</f>
        <v/>
      </c>
      <c r="I716" s="6" t="s">
        <v>29</v>
      </c>
      <c r="J716" s="6" t="s">
        <v>29</v>
      </c>
    </row>
    <row r="717" spans="1:10" ht="33.950000000000003" customHeight="1">
      <c r="A717" s="6" t="s">
        <v>29</v>
      </c>
      <c r="B717" s="6" t="s">
        <v>29</v>
      </c>
      <c r="C717" s="7" t="str">
        <f>IF(A717="","",IFERROR(IF(VLOOKUP(B717,Bibliotheques!$A$10:$B$59,2,FALSE)=0,"Nom manquant",VLOOKUP(B717,Bibliotheques!$A$10:$B$59,2,FALSE)),"Clé inconnue"))</f>
        <v/>
      </c>
      <c r="D717" s="6" t="s">
        <v>29</v>
      </c>
      <c r="E717" s="7" t="str">
        <f t="shared" si="11"/>
        <v/>
      </c>
      <c r="F717" s="6" t="s">
        <v>29</v>
      </c>
      <c r="G717" s="6" t="s">
        <v>29</v>
      </c>
      <c r="H717" s="8" t="str">
        <f>IF(A717="","",Bibliotheques!$B$5&amp;IF(RIGHT(Bibliotheques!$B$5,1)="/","","/")&amp;SUBSTITUTE(A717," ","%20"))</f>
        <v/>
      </c>
      <c r="I717" s="6" t="s">
        <v>29</v>
      </c>
      <c r="J717" s="6" t="s">
        <v>29</v>
      </c>
    </row>
    <row r="718" spans="1:10" ht="33.950000000000003" customHeight="1">
      <c r="A718" s="6" t="s">
        <v>29</v>
      </c>
      <c r="B718" s="6" t="s">
        <v>29</v>
      </c>
      <c r="C718" s="7" t="str">
        <f>IF(A718="","",IFERROR(IF(VLOOKUP(B718,Bibliotheques!$A$10:$B$59,2,FALSE)=0,"Nom manquant",VLOOKUP(B718,Bibliotheques!$A$10:$B$59,2,FALSE)),"Clé inconnue"))</f>
        <v/>
      </c>
      <c r="D718" s="6" t="s">
        <v>29</v>
      </c>
      <c r="E718" s="7" t="str">
        <f t="shared" si="11"/>
        <v/>
      </c>
      <c r="F718" s="6" t="s">
        <v>29</v>
      </c>
      <c r="G718" s="6" t="s">
        <v>29</v>
      </c>
      <c r="H718" s="8" t="str">
        <f>IF(A718="","",Bibliotheques!$B$5&amp;IF(RIGHT(Bibliotheques!$B$5,1)="/","","/")&amp;SUBSTITUTE(A718," ","%20"))</f>
        <v/>
      </c>
      <c r="I718" s="6" t="s">
        <v>29</v>
      </c>
      <c r="J718" s="6" t="s">
        <v>29</v>
      </c>
    </row>
    <row r="719" spans="1:10" ht="33.950000000000003" customHeight="1">
      <c r="A719" s="6" t="s">
        <v>29</v>
      </c>
      <c r="B719" s="6" t="s">
        <v>29</v>
      </c>
      <c r="C719" s="7" t="str">
        <f>IF(A719="","",IFERROR(IF(VLOOKUP(B719,Bibliotheques!$A$10:$B$59,2,FALSE)=0,"Nom manquant",VLOOKUP(B719,Bibliotheques!$A$10:$B$59,2,FALSE)),"Clé inconnue"))</f>
        <v/>
      </c>
      <c r="D719" s="6" t="s">
        <v>29</v>
      </c>
      <c r="E719" s="7" t="str">
        <f t="shared" si="11"/>
        <v/>
      </c>
      <c r="F719" s="6" t="s">
        <v>29</v>
      </c>
      <c r="G719" s="6" t="s">
        <v>29</v>
      </c>
      <c r="H719" s="8" t="str">
        <f>IF(A719="","",Bibliotheques!$B$5&amp;IF(RIGHT(Bibliotheques!$B$5,1)="/","","/")&amp;SUBSTITUTE(A719," ","%20"))</f>
        <v/>
      </c>
      <c r="I719" s="6" t="s">
        <v>29</v>
      </c>
      <c r="J719" s="6" t="s">
        <v>29</v>
      </c>
    </row>
    <row r="720" spans="1:10" ht="33.950000000000003" customHeight="1">
      <c r="A720" s="6" t="s">
        <v>29</v>
      </c>
      <c r="B720" s="6" t="s">
        <v>29</v>
      </c>
      <c r="C720" s="7" t="str">
        <f>IF(A720="","",IFERROR(IF(VLOOKUP(B720,Bibliotheques!$A$10:$B$59,2,FALSE)=0,"Nom manquant",VLOOKUP(B720,Bibliotheques!$A$10:$B$59,2,FALSE)),"Clé inconnue"))</f>
        <v/>
      </c>
      <c r="D720" s="6" t="s">
        <v>29</v>
      </c>
      <c r="E720" s="7" t="str">
        <f t="shared" si="11"/>
        <v/>
      </c>
      <c r="F720" s="6" t="s">
        <v>29</v>
      </c>
      <c r="G720" s="6" t="s">
        <v>29</v>
      </c>
      <c r="H720" s="8" t="str">
        <f>IF(A720="","",Bibliotheques!$B$5&amp;IF(RIGHT(Bibliotheques!$B$5,1)="/","","/")&amp;SUBSTITUTE(A720," ","%20"))</f>
        <v/>
      </c>
      <c r="I720" s="6" t="s">
        <v>29</v>
      </c>
      <c r="J720" s="6" t="s">
        <v>29</v>
      </c>
    </row>
    <row r="721" spans="1:10" ht="33.950000000000003" customHeight="1">
      <c r="A721" s="6" t="s">
        <v>29</v>
      </c>
      <c r="B721" s="6" t="s">
        <v>29</v>
      </c>
      <c r="C721" s="7" t="str">
        <f>IF(A721="","",IFERROR(IF(VLOOKUP(B721,Bibliotheques!$A$10:$B$59,2,FALSE)=0,"Nom manquant",VLOOKUP(B721,Bibliotheques!$A$10:$B$59,2,FALSE)),"Clé inconnue"))</f>
        <v/>
      </c>
      <c r="D721" s="6" t="s">
        <v>29</v>
      </c>
      <c r="E721" s="7" t="str">
        <f t="shared" si="11"/>
        <v/>
      </c>
      <c r="F721" s="6" t="s">
        <v>29</v>
      </c>
      <c r="G721" s="6" t="s">
        <v>29</v>
      </c>
      <c r="H721" s="8" t="str">
        <f>IF(A721="","",Bibliotheques!$B$5&amp;IF(RIGHT(Bibliotheques!$B$5,1)="/","","/")&amp;SUBSTITUTE(A721," ","%20"))</f>
        <v/>
      </c>
      <c r="I721" s="6" t="s">
        <v>29</v>
      </c>
      <c r="J721" s="6" t="s">
        <v>29</v>
      </c>
    </row>
    <row r="722" spans="1:10" ht="33.950000000000003" customHeight="1">
      <c r="A722" s="6" t="s">
        <v>29</v>
      </c>
      <c r="B722" s="6" t="s">
        <v>29</v>
      </c>
      <c r="C722" s="7" t="str">
        <f>IF(A722="","",IFERROR(IF(VLOOKUP(B722,Bibliotheques!$A$10:$B$59,2,FALSE)=0,"Nom manquant",VLOOKUP(B722,Bibliotheques!$A$10:$B$59,2,FALSE)),"Clé inconnue"))</f>
        <v/>
      </c>
      <c r="D722" s="6" t="s">
        <v>29</v>
      </c>
      <c r="E722" s="7" t="str">
        <f t="shared" si="11"/>
        <v/>
      </c>
      <c r="F722" s="6" t="s">
        <v>29</v>
      </c>
      <c r="G722" s="6" t="s">
        <v>29</v>
      </c>
      <c r="H722" s="8" t="str">
        <f>IF(A722="","",Bibliotheques!$B$5&amp;IF(RIGHT(Bibliotheques!$B$5,1)="/","","/")&amp;SUBSTITUTE(A722," ","%20"))</f>
        <v/>
      </c>
      <c r="I722" s="6" t="s">
        <v>29</v>
      </c>
      <c r="J722" s="6" t="s">
        <v>29</v>
      </c>
    </row>
    <row r="723" spans="1:10" ht="33.950000000000003" customHeight="1">
      <c r="A723" s="6" t="s">
        <v>29</v>
      </c>
      <c r="B723" s="6" t="s">
        <v>29</v>
      </c>
      <c r="C723" s="7" t="str">
        <f>IF(A723="","",IFERROR(IF(VLOOKUP(B723,Bibliotheques!$A$10:$B$59,2,FALSE)=0,"Nom manquant",VLOOKUP(B723,Bibliotheques!$A$10:$B$59,2,FALSE)),"Clé inconnue"))</f>
        <v/>
      </c>
      <c r="D723" s="6" t="s">
        <v>29</v>
      </c>
      <c r="E723" s="7" t="str">
        <f t="shared" si="11"/>
        <v/>
      </c>
      <c r="F723" s="6" t="s">
        <v>29</v>
      </c>
      <c r="G723" s="6" t="s">
        <v>29</v>
      </c>
      <c r="H723" s="8" t="str">
        <f>IF(A723="","",Bibliotheques!$B$5&amp;IF(RIGHT(Bibliotheques!$B$5,1)="/","","/")&amp;SUBSTITUTE(A723," ","%20"))</f>
        <v/>
      </c>
      <c r="I723" s="6" t="s">
        <v>29</v>
      </c>
      <c r="J723" s="6" t="s">
        <v>29</v>
      </c>
    </row>
    <row r="724" spans="1:10" ht="33.950000000000003" customHeight="1">
      <c r="A724" s="6" t="s">
        <v>29</v>
      </c>
      <c r="B724" s="6" t="s">
        <v>29</v>
      </c>
      <c r="C724" s="7" t="str">
        <f>IF(A724="","",IFERROR(IF(VLOOKUP(B724,Bibliotheques!$A$10:$B$59,2,FALSE)=0,"Nom manquant",VLOOKUP(B724,Bibliotheques!$A$10:$B$59,2,FALSE)),"Clé inconnue"))</f>
        <v/>
      </c>
      <c r="D724" s="6" t="s">
        <v>29</v>
      </c>
      <c r="E724" s="7" t="str">
        <f t="shared" si="11"/>
        <v/>
      </c>
      <c r="F724" s="6" t="s">
        <v>29</v>
      </c>
      <c r="G724" s="6" t="s">
        <v>29</v>
      </c>
      <c r="H724" s="8" t="str">
        <f>IF(A724="","",Bibliotheques!$B$5&amp;IF(RIGHT(Bibliotheques!$B$5,1)="/","","/")&amp;SUBSTITUTE(A724," ","%20"))</f>
        <v/>
      </c>
      <c r="I724" s="6" t="s">
        <v>29</v>
      </c>
      <c r="J724" s="6" t="s">
        <v>29</v>
      </c>
    </row>
    <row r="725" spans="1:10" ht="33.950000000000003" customHeight="1">
      <c r="A725" s="6" t="s">
        <v>29</v>
      </c>
      <c r="B725" s="6" t="s">
        <v>29</v>
      </c>
      <c r="C725" s="7" t="str">
        <f>IF(A725="","",IFERROR(IF(VLOOKUP(B725,Bibliotheques!$A$10:$B$59,2,FALSE)=0,"Nom manquant",VLOOKUP(B725,Bibliotheques!$A$10:$B$59,2,FALSE)),"Clé inconnue"))</f>
        <v/>
      </c>
      <c r="D725" s="6" t="s">
        <v>29</v>
      </c>
      <c r="E725" s="7" t="str">
        <f t="shared" si="11"/>
        <v/>
      </c>
      <c r="F725" s="6" t="s">
        <v>29</v>
      </c>
      <c r="G725" s="6" t="s">
        <v>29</v>
      </c>
      <c r="H725" s="8" t="str">
        <f>IF(A725="","",Bibliotheques!$B$5&amp;IF(RIGHT(Bibliotheques!$B$5,1)="/","","/")&amp;SUBSTITUTE(A725," ","%20"))</f>
        <v/>
      </c>
      <c r="I725" s="6" t="s">
        <v>29</v>
      </c>
      <c r="J725" s="6" t="s">
        <v>29</v>
      </c>
    </row>
    <row r="726" spans="1:10" ht="33.950000000000003" customHeight="1">
      <c r="A726" s="6" t="s">
        <v>29</v>
      </c>
      <c r="B726" s="6" t="s">
        <v>29</v>
      </c>
      <c r="C726" s="7" t="str">
        <f>IF(A726="","",IFERROR(IF(VLOOKUP(B726,Bibliotheques!$A$10:$B$59,2,FALSE)=0,"Nom manquant",VLOOKUP(B726,Bibliotheques!$A$10:$B$59,2,FALSE)),"Clé inconnue"))</f>
        <v/>
      </c>
      <c r="D726" s="6" t="s">
        <v>29</v>
      </c>
      <c r="E726" s="7" t="str">
        <f t="shared" si="11"/>
        <v/>
      </c>
      <c r="F726" s="6" t="s">
        <v>29</v>
      </c>
      <c r="G726" s="6" t="s">
        <v>29</v>
      </c>
      <c r="H726" s="8" t="str">
        <f>IF(A726="","",Bibliotheques!$B$5&amp;IF(RIGHT(Bibliotheques!$B$5,1)="/","","/")&amp;SUBSTITUTE(A726," ","%20"))</f>
        <v/>
      </c>
      <c r="I726" s="6" t="s">
        <v>29</v>
      </c>
      <c r="J726" s="6" t="s">
        <v>29</v>
      </c>
    </row>
    <row r="727" spans="1:10" ht="33.950000000000003" customHeight="1">
      <c r="A727" s="6" t="s">
        <v>29</v>
      </c>
      <c r="B727" s="6" t="s">
        <v>29</v>
      </c>
      <c r="C727" s="7" t="str">
        <f>IF(A727="","",IFERROR(IF(VLOOKUP(B727,Bibliotheques!$A$10:$B$59,2,FALSE)=0,"Nom manquant",VLOOKUP(B727,Bibliotheques!$A$10:$B$59,2,FALSE)),"Clé inconnue"))</f>
        <v/>
      </c>
      <c r="D727" s="6" t="s">
        <v>29</v>
      </c>
      <c r="E727" s="7" t="str">
        <f t="shared" si="11"/>
        <v/>
      </c>
      <c r="F727" s="6" t="s">
        <v>29</v>
      </c>
      <c r="G727" s="6" t="s">
        <v>29</v>
      </c>
      <c r="H727" s="8" t="str">
        <f>IF(A727="","",Bibliotheques!$B$5&amp;IF(RIGHT(Bibliotheques!$B$5,1)="/","","/")&amp;SUBSTITUTE(A727," ","%20"))</f>
        <v/>
      </c>
      <c r="I727" s="6" t="s">
        <v>29</v>
      </c>
      <c r="J727" s="6" t="s">
        <v>29</v>
      </c>
    </row>
    <row r="728" spans="1:10" ht="33.950000000000003" customHeight="1">
      <c r="A728" s="6" t="s">
        <v>29</v>
      </c>
      <c r="B728" s="6" t="s">
        <v>29</v>
      </c>
      <c r="C728" s="7" t="str">
        <f>IF(A728="","",IFERROR(IF(VLOOKUP(B728,Bibliotheques!$A$10:$B$59,2,FALSE)=0,"Nom manquant",VLOOKUP(B728,Bibliotheques!$A$10:$B$59,2,FALSE)),"Clé inconnue"))</f>
        <v/>
      </c>
      <c r="D728" s="6" t="s">
        <v>29</v>
      </c>
      <c r="E728" s="7" t="str">
        <f t="shared" si="11"/>
        <v/>
      </c>
      <c r="F728" s="6" t="s">
        <v>29</v>
      </c>
      <c r="G728" s="6" t="s">
        <v>29</v>
      </c>
      <c r="H728" s="8" t="str">
        <f>IF(A728="","",Bibliotheques!$B$5&amp;IF(RIGHT(Bibliotheques!$B$5,1)="/","","/")&amp;SUBSTITUTE(A728," ","%20"))</f>
        <v/>
      </c>
      <c r="I728" s="6" t="s">
        <v>29</v>
      </c>
      <c r="J728" s="6" t="s">
        <v>29</v>
      </c>
    </row>
    <row r="729" spans="1:10" ht="33.950000000000003" customHeight="1">
      <c r="A729" s="6" t="s">
        <v>29</v>
      </c>
      <c r="B729" s="6" t="s">
        <v>29</v>
      </c>
      <c r="C729" s="7" t="str">
        <f>IF(A729="","",IFERROR(IF(VLOOKUP(B729,Bibliotheques!$A$10:$B$59,2,FALSE)=0,"Nom manquant",VLOOKUP(B729,Bibliotheques!$A$10:$B$59,2,FALSE)),"Clé inconnue"))</f>
        <v/>
      </c>
      <c r="D729" s="6" t="s">
        <v>29</v>
      </c>
      <c r="E729" s="7" t="str">
        <f t="shared" si="11"/>
        <v/>
      </c>
      <c r="F729" s="6" t="s">
        <v>29</v>
      </c>
      <c r="G729" s="6" t="s">
        <v>29</v>
      </c>
      <c r="H729" s="8" t="str">
        <f>IF(A729="","",Bibliotheques!$B$5&amp;IF(RIGHT(Bibliotheques!$B$5,1)="/","","/")&amp;SUBSTITUTE(A729," ","%20"))</f>
        <v/>
      </c>
      <c r="I729" s="6" t="s">
        <v>29</v>
      </c>
      <c r="J729" s="6" t="s">
        <v>29</v>
      </c>
    </row>
    <row r="730" spans="1:10" ht="33.950000000000003" customHeight="1">
      <c r="A730" s="6" t="s">
        <v>29</v>
      </c>
      <c r="B730" s="6" t="s">
        <v>29</v>
      </c>
      <c r="C730" s="7" t="str">
        <f>IF(A730="","",IFERROR(IF(VLOOKUP(B730,Bibliotheques!$A$10:$B$59,2,FALSE)=0,"Nom manquant",VLOOKUP(B730,Bibliotheques!$A$10:$B$59,2,FALSE)),"Clé inconnue"))</f>
        <v/>
      </c>
      <c r="D730" s="6" t="s">
        <v>29</v>
      </c>
      <c r="E730" s="7" t="str">
        <f t="shared" si="11"/>
        <v/>
      </c>
      <c r="F730" s="6" t="s">
        <v>29</v>
      </c>
      <c r="G730" s="6" t="s">
        <v>29</v>
      </c>
      <c r="H730" s="8" t="str">
        <f>IF(A730="","",Bibliotheques!$B$5&amp;IF(RIGHT(Bibliotheques!$B$5,1)="/","","/")&amp;SUBSTITUTE(A730," ","%20"))</f>
        <v/>
      </c>
      <c r="I730" s="6" t="s">
        <v>29</v>
      </c>
      <c r="J730" s="6" t="s">
        <v>29</v>
      </c>
    </row>
    <row r="731" spans="1:10" ht="33.950000000000003" customHeight="1">
      <c r="A731" s="6" t="s">
        <v>29</v>
      </c>
      <c r="B731" s="6" t="s">
        <v>29</v>
      </c>
      <c r="C731" s="7" t="str">
        <f>IF(A731="","",IFERROR(IF(VLOOKUP(B731,Bibliotheques!$A$10:$B$59,2,FALSE)=0,"Nom manquant",VLOOKUP(B731,Bibliotheques!$A$10:$B$59,2,FALSE)),"Clé inconnue"))</f>
        <v/>
      </c>
      <c r="D731" s="6" t="s">
        <v>29</v>
      </c>
      <c r="E731" s="7" t="str">
        <f t="shared" si="11"/>
        <v/>
      </c>
      <c r="F731" s="6" t="s">
        <v>29</v>
      </c>
      <c r="G731" s="6" t="s">
        <v>29</v>
      </c>
      <c r="H731" s="8" t="str">
        <f>IF(A731="","",Bibliotheques!$B$5&amp;IF(RIGHT(Bibliotheques!$B$5,1)="/","","/")&amp;SUBSTITUTE(A731," ","%20"))</f>
        <v/>
      </c>
      <c r="I731" s="6" t="s">
        <v>29</v>
      </c>
      <c r="J731" s="6" t="s">
        <v>29</v>
      </c>
    </row>
    <row r="732" spans="1:10" ht="33.950000000000003" customHeight="1">
      <c r="A732" s="6" t="s">
        <v>29</v>
      </c>
      <c r="B732" s="6" t="s">
        <v>29</v>
      </c>
      <c r="C732" s="7" t="str">
        <f>IF(A732="","",IFERROR(IF(VLOOKUP(B732,Bibliotheques!$A$10:$B$59,2,FALSE)=0,"Nom manquant",VLOOKUP(B732,Bibliotheques!$A$10:$B$59,2,FALSE)),"Clé inconnue"))</f>
        <v/>
      </c>
      <c r="D732" s="6" t="s">
        <v>29</v>
      </c>
      <c r="E732" s="7" t="str">
        <f t="shared" si="11"/>
        <v/>
      </c>
      <c r="F732" s="6" t="s">
        <v>29</v>
      </c>
      <c r="G732" s="6" t="s">
        <v>29</v>
      </c>
      <c r="H732" s="8" t="str">
        <f>IF(A732="","",Bibliotheques!$B$5&amp;IF(RIGHT(Bibliotheques!$B$5,1)="/","","/")&amp;SUBSTITUTE(A732," ","%20"))</f>
        <v/>
      </c>
      <c r="I732" s="6" t="s">
        <v>29</v>
      </c>
      <c r="J732" s="6" t="s">
        <v>29</v>
      </c>
    </row>
    <row r="733" spans="1:10" ht="33.950000000000003" customHeight="1">
      <c r="A733" s="6" t="s">
        <v>29</v>
      </c>
      <c r="B733" s="6" t="s">
        <v>29</v>
      </c>
      <c r="C733" s="7" t="str">
        <f>IF(A733="","",IFERROR(IF(VLOOKUP(B733,Bibliotheques!$A$10:$B$59,2,FALSE)=0,"Nom manquant",VLOOKUP(B733,Bibliotheques!$A$10:$B$59,2,FALSE)),"Clé inconnue"))</f>
        <v/>
      </c>
      <c r="D733" s="6" t="s">
        <v>29</v>
      </c>
      <c r="E733" s="7" t="str">
        <f t="shared" si="11"/>
        <v/>
      </c>
      <c r="F733" s="6" t="s">
        <v>29</v>
      </c>
      <c r="G733" s="6" t="s">
        <v>29</v>
      </c>
      <c r="H733" s="8" t="str">
        <f>IF(A733="","",Bibliotheques!$B$5&amp;IF(RIGHT(Bibliotheques!$B$5,1)="/","","/")&amp;SUBSTITUTE(A733," ","%20"))</f>
        <v/>
      </c>
      <c r="I733" s="6" t="s">
        <v>29</v>
      </c>
      <c r="J733" s="6" t="s">
        <v>29</v>
      </c>
    </row>
    <row r="734" spans="1:10" ht="33.950000000000003" customHeight="1">
      <c r="A734" s="6" t="s">
        <v>29</v>
      </c>
      <c r="B734" s="6" t="s">
        <v>29</v>
      </c>
      <c r="C734" s="7" t="str">
        <f>IF(A734="","",IFERROR(IF(VLOOKUP(B734,Bibliotheques!$A$10:$B$59,2,FALSE)=0,"Nom manquant",VLOOKUP(B734,Bibliotheques!$A$10:$B$59,2,FALSE)),"Clé inconnue"))</f>
        <v/>
      </c>
      <c r="D734" s="6" t="s">
        <v>29</v>
      </c>
      <c r="E734" s="7" t="str">
        <f t="shared" si="11"/>
        <v/>
      </c>
      <c r="F734" s="6" t="s">
        <v>29</v>
      </c>
      <c r="G734" s="6" t="s">
        <v>29</v>
      </c>
      <c r="H734" s="8" t="str">
        <f>IF(A734="","",Bibliotheques!$B$5&amp;IF(RIGHT(Bibliotheques!$B$5,1)="/","","/")&amp;SUBSTITUTE(A734," ","%20"))</f>
        <v/>
      </c>
      <c r="I734" s="6" t="s">
        <v>29</v>
      </c>
      <c r="J734" s="6" t="s">
        <v>29</v>
      </c>
    </row>
    <row r="735" spans="1:10" ht="33.950000000000003" customHeight="1">
      <c r="A735" s="6" t="s">
        <v>29</v>
      </c>
      <c r="B735" s="6" t="s">
        <v>29</v>
      </c>
      <c r="C735" s="7" t="str">
        <f>IF(A735="","",IFERROR(IF(VLOOKUP(B735,Bibliotheques!$A$10:$B$59,2,FALSE)=0,"Nom manquant",VLOOKUP(B735,Bibliotheques!$A$10:$B$59,2,FALSE)),"Clé inconnue"))</f>
        <v/>
      </c>
      <c r="D735" s="6" t="s">
        <v>29</v>
      </c>
      <c r="E735" s="7" t="str">
        <f t="shared" si="11"/>
        <v/>
      </c>
      <c r="F735" s="6" t="s">
        <v>29</v>
      </c>
      <c r="G735" s="6" t="s">
        <v>29</v>
      </c>
      <c r="H735" s="8" t="str">
        <f>IF(A735="","",Bibliotheques!$B$5&amp;IF(RIGHT(Bibliotheques!$B$5,1)="/","","/")&amp;SUBSTITUTE(A735," ","%20"))</f>
        <v/>
      </c>
      <c r="I735" s="6" t="s">
        <v>29</v>
      </c>
      <c r="J735" s="6" t="s">
        <v>29</v>
      </c>
    </row>
    <row r="736" spans="1:10" ht="33.950000000000003" customHeight="1">
      <c r="A736" s="6" t="s">
        <v>29</v>
      </c>
      <c r="B736" s="6" t="s">
        <v>29</v>
      </c>
      <c r="C736" s="7" t="str">
        <f>IF(A736="","",IFERROR(IF(VLOOKUP(B736,Bibliotheques!$A$10:$B$59,2,FALSE)=0,"Nom manquant",VLOOKUP(B736,Bibliotheques!$A$10:$B$59,2,FALSE)),"Clé inconnue"))</f>
        <v/>
      </c>
      <c r="D736" s="6" t="s">
        <v>29</v>
      </c>
      <c r="E736" s="7" t="str">
        <f t="shared" si="11"/>
        <v/>
      </c>
      <c r="F736" s="6" t="s">
        <v>29</v>
      </c>
      <c r="G736" s="6" t="s">
        <v>29</v>
      </c>
      <c r="H736" s="8" t="str">
        <f>IF(A736="","",Bibliotheques!$B$5&amp;IF(RIGHT(Bibliotheques!$B$5,1)="/","","/")&amp;SUBSTITUTE(A736," ","%20"))</f>
        <v/>
      </c>
      <c r="I736" s="6" t="s">
        <v>29</v>
      </c>
      <c r="J736" s="6" t="s">
        <v>29</v>
      </c>
    </row>
    <row r="737" spans="1:10" ht="33.950000000000003" customHeight="1">
      <c r="A737" s="6" t="s">
        <v>29</v>
      </c>
      <c r="B737" s="6" t="s">
        <v>29</v>
      </c>
      <c r="C737" s="7" t="str">
        <f>IF(A737="","",IFERROR(IF(VLOOKUP(B737,Bibliotheques!$A$10:$B$59,2,FALSE)=0,"Nom manquant",VLOOKUP(B737,Bibliotheques!$A$10:$B$59,2,FALSE)),"Clé inconnue"))</f>
        <v/>
      </c>
      <c r="D737" s="6" t="s">
        <v>29</v>
      </c>
      <c r="E737" s="7" t="str">
        <f t="shared" si="11"/>
        <v/>
      </c>
      <c r="F737" s="6" t="s">
        <v>29</v>
      </c>
      <c r="G737" s="6" t="s">
        <v>29</v>
      </c>
      <c r="H737" s="8" t="str">
        <f>IF(A737="","",Bibliotheques!$B$5&amp;IF(RIGHT(Bibliotheques!$B$5,1)="/","","/")&amp;SUBSTITUTE(A737," ","%20"))</f>
        <v/>
      </c>
      <c r="I737" s="6" t="s">
        <v>29</v>
      </c>
      <c r="J737" s="6" t="s">
        <v>29</v>
      </c>
    </row>
    <row r="738" spans="1:10" ht="33.950000000000003" customHeight="1">
      <c r="A738" s="6" t="s">
        <v>29</v>
      </c>
      <c r="B738" s="6" t="s">
        <v>29</v>
      </c>
      <c r="C738" s="7" t="str">
        <f>IF(A738="","",IFERROR(IF(VLOOKUP(B738,Bibliotheques!$A$10:$B$59,2,FALSE)=0,"Nom manquant",VLOOKUP(B738,Bibliotheques!$A$10:$B$59,2,FALSE)),"Clé inconnue"))</f>
        <v/>
      </c>
      <c r="D738" s="6" t="s">
        <v>29</v>
      </c>
      <c r="E738" s="7" t="str">
        <f t="shared" si="11"/>
        <v/>
      </c>
      <c r="F738" s="6" t="s">
        <v>29</v>
      </c>
      <c r="G738" s="6" t="s">
        <v>29</v>
      </c>
      <c r="H738" s="8" t="str">
        <f>IF(A738="","",Bibliotheques!$B$5&amp;IF(RIGHT(Bibliotheques!$B$5,1)="/","","/")&amp;SUBSTITUTE(A738," ","%20"))</f>
        <v/>
      </c>
      <c r="I738" s="6" t="s">
        <v>29</v>
      </c>
      <c r="J738" s="6" t="s">
        <v>29</v>
      </c>
    </row>
    <row r="739" spans="1:10" ht="33.950000000000003" customHeight="1">
      <c r="A739" s="6" t="s">
        <v>29</v>
      </c>
      <c r="B739" s="6" t="s">
        <v>29</v>
      </c>
      <c r="C739" s="7" t="str">
        <f>IF(A739="","",IFERROR(IF(VLOOKUP(B739,Bibliotheques!$A$10:$B$59,2,FALSE)=0,"Nom manquant",VLOOKUP(B739,Bibliotheques!$A$10:$B$59,2,FALSE)),"Clé inconnue"))</f>
        <v/>
      </c>
      <c r="D739" s="6" t="s">
        <v>29</v>
      </c>
      <c r="E739" s="7" t="str">
        <f t="shared" si="11"/>
        <v/>
      </c>
      <c r="F739" s="6" t="s">
        <v>29</v>
      </c>
      <c r="G739" s="6" t="s">
        <v>29</v>
      </c>
      <c r="H739" s="8" t="str">
        <f>IF(A739="","",Bibliotheques!$B$5&amp;IF(RIGHT(Bibliotheques!$B$5,1)="/","","/")&amp;SUBSTITUTE(A739," ","%20"))</f>
        <v/>
      </c>
      <c r="I739" s="6" t="s">
        <v>29</v>
      </c>
      <c r="J739" s="6" t="s">
        <v>29</v>
      </c>
    </row>
    <row r="740" spans="1:10" ht="33.950000000000003" customHeight="1">
      <c r="A740" s="6" t="s">
        <v>29</v>
      </c>
      <c r="B740" s="6" t="s">
        <v>29</v>
      </c>
      <c r="C740" s="7" t="str">
        <f>IF(A740="","",IFERROR(IF(VLOOKUP(B740,Bibliotheques!$A$10:$B$59,2,FALSE)=0,"Nom manquant",VLOOKUP(B740,Bibliotheques!$A$10:$B$59,2,FALSE)),"Clé inconnue"))</f>
        <v/>
      </c>
      <c r="D740" s="6" t="s">
        <v>29</v>
      </c>
      <c r="E740" s="7" t="str">
        <f t="shared" si="11"/>
        <v/>
      </c>
      <c r="F740" s="6" t="s">
        <v>29</v>
      </c>
      <c r="G740" s="6" t="s">
        <v>29</v>
      </c>
      <c r="H740" s="8" t="str">
        <f>IF(A740="","",Bibliotheques!$B$5&amp;IF(RIGHT(Bibliotheques!$B$5,1)="/","","/")&amp;SUBSTITUTE(A740," ","%20"))</f>
        <v/>
      </c>
      <c r="I740" s="6" t="s">
        <v>29</v>
      </c>
      <c r="J740" s="6" t="s">
        <v>29</v>
      </c>
    </row>
    <row r="741" spans="1:10" ht="33.950000000000003" customHeight="1">
      <c r="A741" s="6" t="s">
        <v>29</v>
      </c>
      <c r="B741" s="6" t="s">
        <v>29</v>
      </c>
      <c r="C741" s="7" t="str">
        <f>IF(A741="","",IFERROR(IF(VLOOKUP(B741,Bibliotheques!$A$10:$B$59,2,FALSE)=0,"Nom manquant",VLOOKUP(B741,Bibliotheques!$A$10:$B$59,2,FALSE)),"Clé inconnue"))</f>
        <v/>
      </c>
      <c r="D741" s="6" t="s">
        <v>29</v>
      </c>
      <c r="E741" s="7" t="str">
        <f t="shared" si="11"/>
        <v/>
      </c>
      <c r="F741" s="6" t="s">
        <v>29</v>
      </c>
      <c r="G741" s="6" t="s">
        <v>29</v>
      </c>
      <c r="H741" s="8" t="str">
        <f>IF(A741="","",Bibliotheques!$B$5&amp;IF(RIGHT(Bibliotheques!$B$5,1)="/","","/")&amp;SUBSTITUTE(A741," ","%20"))</f>
        <v/>
      </c>
      <c r="I741" s="6" t="s">
        <v>29</v>
      </c>
      <c r="J741" s="6" t="s">
        <v>29</v>
      </c>
    </row>
    <row r="742" spans="1:10" ht="33.950000000000003" customHeight="1">
      <c r="A742" s="6" t="s">
        <v>29</v>
      </c>
      <c r="B742" s="6" t="s">
        <v>29</v>
      </c>
      <c r="C742" s="7" t="str">
        <f>IF(A742="","",IFERROR(IF(VLOOKUP(B742,Bibliotheques!$A$10:$B$59,2,FALSE)=0,"Nom manquant",VLOOKUP(B742,Bibliotheques!$A$10:$B$59,2,FALSE)),"Clé inconnue"))</f>
        <v/>
      </c>
      <c r="D742" s="6" t="s">
        <v>29</v>
      </c>
      <c r="E742" s="7" t="str">
        <f t="shared" si="11"/>
        <v/>
      </c>
      <c r="F742" s="6" t="s">
        <v>29</v>
      </c>
      <c r="G742" s="6" t="s">
        <v>29</v>
      </c>
      <c r="H742" s="8" t="str">
        <f>IF(A742="","",Bibliotheques!$B$5&amp;IF(RIGHT(Bibliotheques!$B$5,1)="/","","/")&amp;SUBSTITUTE(A742," ","%20"))</f>
        <v/>
      </c>
      <c r="I742" s="6" t="s">
        <v>29</v>
      </c>
      <c r="J742" s="6" t="s">
        <v>29</v>
      </c>
    </row>
    <row r="743" spans="1:10" ht="33.950000000000003" customHeight="1">
      <c r="A743" s="6" t="s">
        <v>29</v>
      </c>
      <c r="B743" s="6" t="s">
        <v>29</v>
      </c>
      <c r="C743" s="7" t="str">
        <f>IF(A743="","",IFERROR(IF(VLOOKUP(B743,Bibliotheques!$A$10:$B$59,2,FALSE)=0,"Nom manquant",VLOOKUP(B743,Bibliotheques!$A$10:$B$59,2,FALSE)),"Clé inconnue"))</f>
        <v/>
      </c>
      <c r="D743" s="6" t="s">
        <v>29</v>
      </c>
      <c r="E743" s="7" t="str">
        <f t="shared" si="11"/>
        <v/>
      </c>
      <c r="F743" s="6" t="s">
        <v>29</v>
      </c>
      <c r="G743" s="6" t="s">
        <v>29</v>
      </c>
      <c r="H743" s="8" t="str">
        <f>IF(A743="","",Bibliotheques!$B$5&amp;IF(RIGHT(Bibliotheques!$B$5,1)="/","","/")&amp;SUBSTITUTE(A743," ","%20"))</f>
        <v/>
      </c>
      <c r="I743" s="6" t="s">
        <v>29</v>
      </c>
      <c r="J743" s="6" t="s">
        <v>29</v>
      </c>
    </row>
    <row r="744" spans="1:10" ht="33.950000000000003" customHeight="1">
      <c r="A744" s="6" t="s">
        <v>29</v>
      </c>
      <c r="B744" s="6" t="s">
        <v>29</v>
      </c>
      <c r="C744" s="7" t="str">
        <f>IF(A744="","",IFERROR(IF(VLOOKUP(B744,Bibliotheques!$A$10:$B$59,2,FALSE)=0,"Nom manquant",VLOOKUP(B744,Bibliotheques!$A$10:$B$59,2,FALSE)),"Clé inconnue"))</f>
        <v/>
      </c>
      <c r="D744" s="6" t="s">
        <v>29</v>
      </c>
      <c r="E744" s="7" t="str">
        <f t="shared" si="11"/>
        <v/>
      </c>
      <c r="F744" s="6" t="s">
        <v>29</v>
      </c>
      <c r="G744" s="6" t="s">
        <v>29</v>
      </c>
      <c r="H744" s="8" t="str">
        <f>IF(A744="","",Bibliotheques!$B$5&amp;IF(RIGHT(Bibliotheques!$B$5,1)="/","","/")&amp;SUBSTITUTE(A744," ","%20"))</f>
        <v/>
      </c>
      <c r="I744" s="6" t="s">
        <v>29</v>
      </c>
      <c r="J744" s="6" t="s">
        <v>29</v>
      </c>
    </row>
    <row r="745" spans="1:10" ht="33.950000000000003" customHeight="1">
      <c r="A745" s="6" t="s">
        <v>29</v>
      </c>
      <c r="B745" s="6" t="s">
        <v>29</v>
      </c>
      <c r="C745" s="7" t="str">
        <f>IF(A745="","",IFERROR(IF(VLOOKUP(B745,Bibliotheques!$A$10:$B$59,2,FALSE)=0,"Nom manquant",VLOOKUP(B745,Bibliotheques!$A$10:$B$59,2,FALSE)),"Clé inconnue"))</f>
        <v/>
      </c>
      <c r="D745" s="6" t="s">
        <v>29</v>
      </c>
      <c r="E745" s="7" t="str">
        <f t="shared" si="11"/>
        <v/>
      </c>
      <c r="F745" s="6" t="s">
        <v>29</v>
      </c>
      <c r="G745" s="6" t="s">
        <v>29</v>
      </c>
      <c r="H745" s="8" t="str">
        <f>IF(A745="","",Bibliotheques!$B$5&amp;IF(RIGHT(Bibliotheques!$B$5,1)="/","","/")&amp;SUBSTITUTE(A745," ","%20"))</f>
        <v/>
      </c>
      <c r="I745" s="6" t="s">
        <v>29</v>
      </c>
      <c r="J745" s="6" t="s">
        <v>29</v>
      </c>
    </row>
    <row r="746" spans="1:10" ht="33.950000000000003" customHeight="1">
      <c r="A746" s="6" t="s">
        <v>29</v>
      </c>
      <c r="B746" s="6" t="s">
        <v>29</v>
      </c>
      <c r="C746" s="7" t="str">
        <f>IF(A746="","",IFERROR(IF(VLOOKUP(B746,Bibliotheques!$A$10:$B$59,2,FALSE)=0,"Nom manquant",VLOOKUP(B746,Bibliotheques!$A$10:$B$59,2,FALSE)),"Clé inconnue"))</f>
        <v/>
      </c>
      <c r="D746" s="6" t="s">
        <v>29</v>
      </c>
      <c r="E746" s="7" t="str">
        <f t="shared" si="11"/>
        <v/>
      </c>
      <c r="F746" s="6" t="s">
        <v>29</v>
      </c>
      <c r="G746" s="6" t="s">
        <v>29</v>
      </c>
      <c r="H746" s="8" t="str">
        <f>IF(A746="","",Bibliotheques!$B$5&amp;IF(RIGHT(Bibliotheques!$B$5,1)="/","","/")&amp;SUBSTITUTE(A746," ","%20"))</f>
        <v/>
      </c>
      <c r="I746" s="6" t="s">
        <v>29</v>
      </c>
      <c r="J746" s="6" t="s">
        <v>29</v>
      </c>
    </row>
    <row r="747" spans="1:10" ht="33.950000000000003" customHeight="1">
      <c r="A747" s="6" t="s">
        <v>29</v>
      </c>
      <c r="B747" s="6" t="s">
        <v>29</v>
      </c>
      <c r="C747" s="7" t="str">
        <f>IF(A747="","",IFERROR(IF(VLOOKUP(B747,Bibliotheques!$A$10:$B$59,2,FALSE)=0,"Nom manquant",VLOOKUP(B747,Bibliotheques!$A$10:$B$59,2,FALSE)),"Clé inconnue"))</f>
        <v/>
      </c>
      <c r="D747" s="6" t="s">
        <v>29</v>
      </c>
      <c r="E747" s="7" t="str">
        <f t="shared" si="11"/>
        <v/>
      </c>
      <c r="F747" s="6" t="s">
        <v>29</v>
      </c>
      <c r="G747" s="6" t="s">
        <v>29</v>
      </c>
      <c r="H747" s="8" t="str">
        <f>IF(A747="","",Bibliotheques!$B$5&amp;IF(RIGHT(Bibliotheques!$B$5,1)="/","","/")&amp;SUBSTITUTE(A747," ","%20"))</f>
        <v/>
      </c>
      <c r="I747" s="6" t="s">
        <v>29</v>
      </c>
      <c r="J747" s="6" t="s">
        <v>29</v>
      </c>
    </row>
    <row r="748" spans="1:10" ht="33.950000000000003" customHeight="1">
      <c r="A748" s="6" t="s">
        <v>29</v>
      </c>
      <c r="B748" s="6" t="s">
        <v>29</v>
      </c>
      <c r="C748" s="7" t="str">
        <f>IF(A748="","",IFERROR(IF(VLOOKUP(B748,Bibliotheques!$A$10:$B$59,2,FALSE)=0,"Nom manquant",VLOOKUP(B748,Bibliotheques!$A$10:$B$59,2,FALSE)),"Clé inconnue"))</f>
        <v/>
      </c>
      <c r="D748" s="6" t="s">
        <v>29</v>
      </c>
      <c r="E748" s="7" t="str">
        <f t="shared" si="11"/>
        <v/>
      </c>
      <c r="F748" s="6" t="s">
        <v>29</v>
      </c>
      <c r="G748" s="6" t="s">
        <v>29</v>
      </c>
      <c r="H748" s="8" t="str">
        <f>IF(A748="","",Bibliotheques!$B$5&amp;IF(RIGHT(Bibliotheques!$B$5,1)="/","","/")&amp;SUBSTITUTE(A748," ","%20"))</f>
        <v/>
      </c>
      <c r="I748" s="6" t="s">
        <v>29</v>
      </c>
      <c r="J748" s="6" t="s">
        <v>29</v>
      </c>
    </row>
    <row r="749" spans="1:10" ht="33.950000000000003" customHeight="1">
      <c r="A749" s="6" t="s">
        <v>29</v>
      </c>
      <c r="B749" s="6" t="s">
        <v>29</v>
      </c>
      <c r="C749" s="7" t="str">
        <f>IF(A749="","",IFERROR(IF(VLOOKUP(B749,Bibliotheques!$A$10:$B$59,2,FALSE)=0,"Nom manquant",VLOOKUP(B749,Bibliotheques!$A$10:$B$59,2,FALSE)),"Clé inconnue"))</f>
        <v/>
      </c>
      <c r="D749" s="6" t="s">
        <v>29</v>
      </c>
      <c r="E749" s="7" t="str">
        <f t="shared" si="11"/>
        <v/>
      </c>
      <c r="F749" s="6" t="s">
        <v>29</v>
      </c>
      <c r="G749" s="6" t="s">
        <v>29</v>
      </c>
      <c r="H749" s="8" t="str">
        <f>IF(A749="","",Bibliotheques!$B$5&amp;IF(RIGHT(Bibliotheques!$B$5,1)="/","","/")&amp;SUBSTITUTE(A749," ","%20"))</f>
        <v/>
      </c>
      <c r="I749" s="6" t="s">
        <v>29</v>
      </c>
      <c r="J749" s="6" t="s">
        <v>29</v>
      </c>
    </row>
    <row r="750" spans="1:10" ht="33.950000000000003" customHeight="1">
      <c r="A750" s="6" t="s">
        <v>29</v>
      </c>
      <c r="B750" s="6" t="s">
        <v>29</v>
      </c>
      <c r="C750" s="7" t="str">
        <f>IF(A750="","",IFERROR(IF(VLOOKUP(B750,Bibliotheques!$A$10:$B$59,2,FALSE)=0,"Nom manquant",VLOOKUP(B750,Bibliotheques!$A$10:$B$59,2,FALSE)),"Clé inconnue"))</f>
        <v/>
      </c>
      <c r="D750" s="6" t="s">
        <v>29</v>
      </c>
      <c r="E750" s="7" t="str">
        <f t="shared" si="11"/>
        <v/>
      </c>
      <c r="F750" s="6" t="s">
        <v>29</v>
      </c>
      <c r="G750" s="6" t="s">
        <v>29</v>
      </c>
      <c r="H750" s="8" t="str">
        <f>IF(A750="","",Bibliotheques!$B$5&amp;IF(RIGHT(Bibliotheques!$B$5,1)="/","","/")&amp;SUBSTITUTE(A750," ","%20"))</f>
        <v/>
      </c>
      <c r="I750" s="6" t="s">
        <v>29</v>
      </c>
      <c r="J750" s="6" t="s">
        <v>29</v>
      </c>
    </row>
    <row r="751" spans="1:10" ht="33.950000000000003" customHeight="1">
      <c r="A751" s="6" t="s">
        <v>29</v>
      </c>
      <c r="B751" s="6" t="s">
        <v>29</v>
      </c>
      <c r="C751" s="7" t="str">
        <f>IF(A751="","",IFERROR(IF(VLOOKUP(B751,Bibliotheques!$A$10:$B$59,2,FALSE)=0,"Nom manquant",VLOOKUP(B751,Bibliotheques!$A$10:$B$59,2,FALSE)),"Clé inconnue"))</f>
        <v/>
      </c>
      <c r="D751" s="6" t="s">
        <v>29</v>
      </c>
      <c r="E751" s="7" t="str">
        <f t="shared" si="11"/>
        <v/>
      </c>
      <c r="F751" s="6" t="s">
        <v>29</v>
      </c>
      <c r="G751" s="6" t="s">
        <v>29</v>
      </c>
      <c r="H751" s="8" t="str">
        <f>IF(A751="","",Bibliotheques!$B$5&amp;IF(RIGHT(Bibliotheques!$B$5,1)="/","","/")&amp;SUBSTITUTE(A751," ","%20"))</f>
        <v/>
      </c>
      <c r="I751" s="6" t="s">
        <v>29</v>
      </c>
      <c r="J751" s="6" t="s">
        <v>29</v>
      </c>
    </row>
    <row r="752" spans="1:10" ht="33.950000000000003" customHeight="1">
      <c r="A752" s="6" t="s">
        <v>29</v>
      </c>
      <c r="B752" s="6" t="s">
        <v>29</v>
      </c>
      <c r="C752" s="7" t="str">
        <f>IF(A752="","",IFERROR(IF(VLOOKUP(B752,Bibliotheques!$A$10:$B$59,2,FALSE)=0,"Nom manquant",VLOOKUP(B752,Bibliotheques!$A$10:$B$59,2,FALSE)),"Clé inconnue"))</f>
        <v/>
      </c>
      <c r="D752" s="6" t="s">
        <v>29</v>
      </c>
      <c r="E752" s="7" t="str">
        <f t="shared" si="11"/>
        <v/>
      </c>
      <c r="F752" s="6" t="s">
        <v>29</v>
      </c>
      <c r="G752" s="6" t="s">
        <v>29</v>
      </c>
      <c r="H752" s="8" t="str">
        <f>IF(A752="","",Bibliotheques!$B$5&amp;IF(RIGHT(Bibliotheques!$B$5,1)="/","","/")&amp;SUBSTITUTE(A752," ","%20"))</f>
        <v/>
      </c>
      <c r="I752" s="6" t="s">
        <v>29</v>
      </c>
      <c r="J752" s="6" t="s">
        <v>29</v>
      </c>
    </row>
    <row r="753" spans="1:10" ht="33.950000000000003" customHeight="1">
      <c r="A753" s="6" t="s">
        <v>29</v>
      </c>
      <c r="B753" s="6" t="s">
        <v>29</v>
      </c>
      <c r="C753" s="7" t="str">
        <f>IF(A753="","",IFERROR(IF(VLOOKUP(B753,Bibliotheques!$A$10:$B$59,2,FALSE)=0,"Nom manquant",VLOOKUP(B753,Bibliotheques!$A$10:$B$59,2,FALSE)),"Clé inconnue"))</f>
        <v/>
      </c>
      <c r="D753" s="6" t="s">
        <v>29</v>
      </c>
      <c r="E753" s="7" t="str">
        <f t="shared" si="11"/>
        <v/>
      </c>
      <c r="F753" s="6" t="s">
        <v>29</v>
      </c>
      <c r="G753" s="6" t="s">
        <v>29</v>
      </c>
      <c r="H753" s="8" t="str">
        <f>IF(A753="","",Bibliotheques!$B$5&amp;IF(RIGHT(Bibliotheques!$B$5,1)="/","","/")&amp;SUBSTITUTE(A753," ","%20"))</f>
        <v/>
      </c>
      <c r="I753" s="6" t="s">
        <v>29</v>
      </c>
      <c r="J753" s="6" t="s">
        <v>29</v>
      </c>
    </row>
    <row r="754" spans="1:10" ht="33.950000000000003" customHeight="1">
      <c r="A754" s="6" t="s">
        <v>29</v>
      </c>
      <c r="B754" s="6" t="s">
        <v>29</v>
      </c>
      <c r="C754" s="7" t="str">
        <f>IF(A754="","",IFERROR(IF(VLOOKUP(B754,Bibliotheques!$A$10:$B$59,2,FALSE)=0,"Nom manquant",VLOOKUP(B754,Bibliotheques!$A$10:$B$59,2,FALSE)),"Clé inconnue"))</f>
        <v/>
      </c>
      <c r="D754" s="6" t="s">
        <v>29</v>
      </c>
      <c r="E754" s="7" t="str">
        <f t="shared" si="11"/>
        <v/>
      </c>
      <c r="F754" s="6" t="s">
        <v>29</v>
      </c>
      <c r="G754" s="6" t="s">
        <v>29</v>
      </c>
      <c r="H754" s="8" t="str">
        <f>IF(A754="","",Bibliotheques!$B$5&amp;IF(RIGHT(Bibliotheques!$B$5,1)="/","","/")&amp;SUBSTITUTE(A754," ","%20"))</f>
        <v/>
      </c>
      <c r="I754" s="6" t="s">
        <v>29</v>
      </c>
      <c r="J754" s="6" t="s">
        <v>29</v>
      </c>
    </row>
    <row r="755" spans="1:10" ht="33.950000000000003" customHeight="1">
      <c r="A755" s="6" t="s">
        <v>29</v>
      </c>
      <c r="B755" s="6" t="s">
        <v>29</v>
      </c>
      <c r="C755" s="7" t="str">
        <f>IF(A755="","",IFERROR(IF(VLOOKUP(B755,Bibliotheques!$A$10:$B$59,2,FALSE)=0,"Nom manquant",VLOOKUP(B755,Bibliotheques!$A$10:$B$59,2,FALSE)),"Clé inconnue"))</f>
        <v/>
      </c>
      <c r="D755" s="6" t="s">
        <v>29</v>
      </c>
      <c r="E755" s="7" t="str">
        <f t="shared" si="11"/>
        <v/>
      </c>
      <c r="F755" s="6" t="s">
        <v>29</v>
      </c>
      <c r="G755" s="6" t="s">
        <v>29</v>
      </c>
      <c r="H755" s="8" t="str">
        <f>IF(A755="","",Bibliotheques!$B$5&amp;IF(RIGHT(Bibliotheques!$B$5,1)="/","","/")&amp;SUBSTITUTE(A755," ","%20"))</f>
        <v/>
      </c>
      <c r="I755" s="6" t="s">
        <v>29</v>
      </c>
      <c r="J755" s="6" t="s">
        <v>29</v>
      </c>
    </row>
    <row r="756" spans="1:10" ht="33.950000000000003" customHeight="1">
      <c r="A756" s="6" t="s">
        <v>29</v>
      </c>
      <c r="B756" s="6" t="s">
        <v>29</v>
      </c>
      <c r="C756" s="7" t="str">
        <f>IF(A756="","",IFERROR(IF(VLOOKUP(B756,Bibliotheques!$A$10:$B$59,2,FALSE)=0,"Nom manquant",VLOOKUP(B756,Bibliotheques!$A$10:$B$59,2,FALSE)),"Clé inconnue"))</f>
        <v/>
      </c>
      <c r="D756" s="6" t="s">
        <v>29</v>
      </c>
      <c r="E756" s="7" t="str">
        <f t="shared" si="11"/>
        <v/>
      </c>
      <c r="F756" s="6" t="s">
        <v>29</v>
      </c>
      <c r="G756" s="6" t="s">
        <v>29</v>
      </c>
      <c r="H756" s="8" t="str">
        <f>IF(A756="","",Bibliotheques!$B$5&amp;IF(RIGHT(Bibliotheques!$B$5,1)="/","","/")&amp;SUBSTITUTE(A756," ","%20"))</f>
        <v/>
      </c>
      <c r="I756" s="6" t="s">
        <v>29</v>
      </c>
      <c r="J756" s="6" t="s">
        <v>29</v>
      </c>
    </row>
    <row r="757" spans="1:10" ht="33.950000000000003" customHeight="1">
      <c r="A757" s="6" t="s">
        <v>29</v>
      </c>
      <c r="B757" s="6" t="s">
        <v>29</v>
      </c>
      <c r="C757" s="7" t="str">
        <f>IF(A757="","",IFERROR(IF(VLOOKUP(B757,Bibliotheques!$A$10:$B$59,2,FALSE)=0,"Nom manquant",VLOOKUP(B757,Bibliotheques!$A$10:$B$59,2,FALSE)),"Clé inconnue"))</f>
        <v/>
      </c>
      <c r="D757" s="6" t="s">
        <v>29</v>
      </c>
      <c r="E757" s="7" t="str">
        <f t="shared" si="11"/>
        <v/>
      </c>
      <c r="F757" s="6" t="s">
        <v>29</v>
      </c>
      <c r="G757" s="6" t="s">
        <v>29</v>
      </c>
      <c r="H757" s="8" t="str">
        <f>IF(A757="","",Bibliotheques!$B$5&amp;IF(RIGHT(Bibliotheques!$B$5,1)="/","","/")&amp;SUBSTITUTE(A757," ","%20"))</f>
        <v/>
      </c>
      <c r="I757" s="6" t="s">
        <v>29</v>
      </c>
      <c r="J757" s="6" t="s">
        <v>29</v>
      </c>
    </row>
    <row r="758" spans="1:10" ht="33.950000000000003" customHeight="1">
      <c r="A758" s="6" t="s">
        <v>29</v>
      </c>
      <c r="B758" s="6" t="s">
        <v>29</v>
      </c>
      <c r="C758" s="7" t="str">
        <f>IF(A758="","",IFERROR(IF(VLOOKUP(B758,Bibliotheques!$A$10:$B$59,2,FALSE)=0,"Nom manquant",VLOOKUP(B758,Bibliotheques!$A$10:$B$59,2,FALSE)),"Clé inconnue"))</f>
        <v/>
      </c>
      <c r="D758" s="6" t="s">
        <v>29</v>
      </c>
      <c r="E758" s="7" t="str">
        <f t="shared" si="11"/>
        <v/>
      </c>
      <c r="F758" s="6" t="s">
        <v>29</v>
      </c>
      <c r="G758" s="6" t="s">
        <v>29</v>
      </c>
      <c r="H758" s="8" t="str">
        <f>IF(A758="","",Bibliotheques!$B$5&amp;IF(RIGHT(Bibliotheques!$B$5,1)="/","","/")&amp;SUBSTITUTE(A758," ","%20"))</f>
        <v/>
      </c>
      <c r="I758" s="6" t="s">
        <v>29</v>
      </c>
      <c r="J758" s="6" t="s">
        <v>29</v>
      </c>
    </row>
    <row r="759" spans="1:10" ht="33.950000000000003" customHeight="1">
      <c r="A759" s="6" t="s">
        <v>29</v>
      </c>
      <c r="B759" s="6" t="s">
        <v>29</v>
      </c>
      <c r="C759" s="7" t="str">
        <f>IF(A759="","",IFERROR(IF(VLOOKUP(B759,Bibliotheques!$A$10:$B$59,2,FALSE)=0,"Nom manquant",VLOOKUP(B759,Bibliotheques!$A$10:$B$59,2,FALSE)),"Clé inconnue"))</f>
        <v/>
      </c>
      <c r="D759" s="6" t="s">
        <v>29</v>
      </c>
      <c r="E759" s="7" t="str">
        <f t="shared" si="11"/>
        <v/>
      </c>
      <c r="F759" s="6" t="s">
        <v>29</v>
      </c>
      <c r="G759" s="6" t="s">
        <v>29</v>
      </c>
      <c r="H759" s="8" t="str">
        <f>IF(A759="","",Bibliotheques!$B$5&amp;IF(RIGHT(Bibliotheques!$B$5,1)="/","","/")&amp;SUBSTITUTE(A759," ","%20"))</f>
        <v/>
      </c>
      <c r="I759" s="6" t="s">
        <v>29</v>
      </c>
      <c r="J759" s="6" t="s">
        <v>29</v>
      </c>
    </row>
    <row r="760" spans="1:10" ht="33.950000000000003" customHeight="1">
      <c r="A760" s="6" t="s">
        <v>29</v>
      </c>
      <c r="B760" s="6" t="s">
        <v>29</v>
      </c>
      <c r="C760" s="7" t="str">
        <f>IF(A760="","",IFERROR(IF(VLOOKUP(B760,Bibliotheques!$A$10:$B$59,2,FALSE)=0,"Nom manquant",VLOOKUP(B760,Bibliotheques!$A$10:$B$59,2,FALSE)),"Clé inconnue"))</f>
        <v/>
      </c>
      <c r="D760" s="6" t="s">
        <v>29</v>
      </c>
      <c r="E760" s="7" t="str">
        <f t="shared" si="11"/>
        <v/>
      </c>
      <c r="F760" s="6" t="s">
        <v>29</v>
      </c>
      <c r="G760" s="6" t="s">
        <v>29</v>
      </c>
      <c r="H760" s="8" t="str">
        <f>IF(A760="","",Bibliotheques!$B$5&amp;IF(RIGHT(Bibliotheques!$B$5,1)="/","","/")&amp;SUBSTITUTE(A760," ","%20"))</f>
        <v/>
      </c>
      <c r="I760" s="6" t="s">
        <v>29</v>
      </c>
      <c r="J760" s="6" t="s">
        <v>29</v>
      </c>
    </row>
    <row r="761" spans="1:10" ht="33.950000000000003" customHeight="1">
      <c r="A761" s="6" t="s">
        <v>29</v>
      </c>
      <c r="B761" s="6" t="s">
        <v>29</v>
      </c>
      <c r="C761" s="7" t="str">
        <f>IF(A761="","",IFERROR(IF(VLOOKUP(B761,Bibliotheques!$A$10:$B$59,2,FALSE)=0,"Nom manquant",VLOOKUP(B761,Bibliotheques!$A$10:$B$59,2,FALSE)),"Clé inconnue"))</f>
        <v/>
      </c>
      <c r="D761" s="6" t="s">
        <v>29</v>
      </c>
      <c r="E761" s="7" t="str">
        <f t="shared" si="11"/>
        <v/>
      </c>
      <c r="F761" s="6" t="s">
        <v>29</v>
      </c>
      <c r="G761" s="6" t="s">
        <v>29</v>
      </c>
      <c r="H761" s="8" t="str">
        <f>IF(A761="","",Bibliotheques!$B$5&amp;IF(RIGHT(Bibliotheques!$B$5,1)="/","","/")&amp;SUBSTITUTE(A761," ","%20"))</f>
        <v/>
      </c>
      <c r="I761" s="6" t="s">
        <v>29</v>
      </c>
      <c r="J761" s="6" t="s">
        <v>29</v>
      </c>
    </row>
    <row r="762" spans="1:10" ht="33.950000000000003" customHeight="1">
      <c r="A762" s="6" t="s">
        <v>29</v>
      </c>
      <c r="B762" s="6" t="s">
        <v>29</v>
      </c>
      <c r="C762" s="7" t="str">
        <f>IF(A762="","",IFERROR(IF(VLOOKUP(B762,Bibliotheques!$A$10:$B$59,2,FALSE)=0,"Nom manquant",VLOOKUP(B762,Bibliotheques!$A$10:$B$59,2,FALSE)),"Clé inconnue"))</f>
        <v/>
      </c>
      <c r="D762" s="6" t="s">
        <v>29</v>
      </c>
      <c r="E762" s="7" t="str">
        <f t="shared" si="11"/>
        <v/>
      </c>
      <c r="F762" s="6" t="s">
        <v>29</v>
      </c>
      <c r="G762" s="6" t="s">
        <v>29</v>
      </c>
      <c r="H762" s="8" t="str">
        <f>IF(A762="","",Bibliotheques!$B$5&amp;IF(RIGHT(Bibliotheques!$B$5,1)="/","","/")&amp;SUBSTITUTE(A762," ","%20"))</f>
        <v/>
      </c>
      <c r="I762" s="6" t="s">
        <v>29</v>
      </c>
      <c r="J762" s="6" t="s">
        <v>29</v>
      </c>
    </row>
    <row r="763" spans="1:10" ht="33.950000000000003" customHeight="1">
      <c r="A763" s="6" t="s">
        <v>29</v>
      </c>
      <c r="B763" s="6" t="s">
        <v>29</v>
      </c>
      <c r="C763" s="7" t="str">
        <f>IF(A763="","",IFERROR(IF(VLOOKUP(B763,Bibliotheques!$A$10:$B$59,2,FALSE)=0,"Nom manquant",VLOOKUP(B763,Bibliotheques!$A$10:$B$59,2,FALSE)),"Clé inconnue"))</f>
        <v/>
      </c>
      <c r="D763" s="6" t="s">
        <v>29</v>
      </c>
      <c r="E763" s="7" t="str">
        <f t="shared" si="11"/>
        <v/>
      </c>
      <c r="F763" s="6" t="s">
        <v>29</v>
      </c>
      <c r="G763" s="6" t="s">
        <v>29</v>
      </c>
      <c r="H763" s="8" t="str">
        <f>IF(A763="","",Bibliotheques!$B$5&amp;IF(RIGHT(Bibliotheques!$B$5,1)="/","","/")&amp;SUBSTITUTE(A763," ","%20"))</f>
        <v/>
      </c>
      <c r="I763" s="6" t="s">
        <v>29</v>
      </c>
      <c r="J763" s="6" t="s">
        <v>29</v>
      </c>
    </row>
    <row r="764" spans="1:10" ht="33.950000000000003" customHeight="1">
      <c r="A764" s="6" t="s">
        <v>29</v>
      </c>
      <c r="B764" s="6" t="s">
        <v>29</v>
      </c>
      <c r="C764" s="7" t="str">
        <f>IF(A764="","",IFERROR(IF(VLOOKUP(B764,Bibliotheques!$A$10:$B$59,2,FALSE)=0,"Nom manquant",VLOOKUP(B764,Bibliotheques!$A$10:$B$59,2,FALSE)),"Clé inconnue"))</f>
        <v/>
      </c>
      <c r="D764" s="6" t="s">
        <v>29</v>
      </c>
      <c r="E764" s="7" t="str">
        <f t="shared" si="11"/>
        <v/>
      </c>
      <c r="F764" s="6" t="s">
        <v>29</v>
      </c>
      <c r="G764" s="6" t="s">
        <v>29</v>
      </c>
      <c r="H764" s="8" t="str">
        <f>IF(A764="","",Bibliotheques!$B$5&amp;IF(RIGHT(Bibliotheques!$B$5,1)="/","","/")&amp;SUBSTITUTE(A764," ","%20"))</f>
        <v/>
      </c>
      <c r="I764" s="6" t="s">
        <v>29</v>
      </c>
      <c r="J764" s="6" t="s">
        <v>29</v>
      </c>
    </row>
    <row r="765" spans="1:10" ht="33.950000000000003" customHeight="1">
      <c r="A765" s="6" t="s">
        <v>29</v>
      </c>
      <c r="B765" s="6" t="s">
        <v>29</v>
      </c>
      <c r="C765" s="7" t="str">
        <f>IF(A765="","",IFERROR(IF(VLOOKUP(B765,Bibliotheques!$A$10:$B$59,2,FALSE)=0,"Nom manquant",VLOOKUP(B765,Bibliotheques!$A$10:$B$59,2,FALSE)),"Clé inconnue"))</f>
        <v/>
      </c>
      <c r="D765" s="6" t="s">
        <v>29</v>
      </c>
      <c r="E765" s="7" t="str">
        <f t="shared" si="11"/>
        <v/>
      </c>
      <c r="F765" s="6" t="s">
        <v>29</v>
      </c>
      <c r="G765" s="6" t="s">
        <v>29</v>
      </c>
      <c r="H765" s="8" t="str">
        <f>IF(A765="","",Bibliotheques!$B$5&amp;IF(RIGHT(Bibliotheques!$B$5,1)="/","","/")&amp;SUBSTITUTE(A765," ","%20"))</f>
        <v/>
      </c>
      <c r="I765" s="6" t="s">
        <v>29</v>
      </c>
      <c r="J765" s="6" t="s">
        <v>29</v>
      </c>
    </row>
    <row r="766" spans="1:10" ht="33.950000000000003" customHeight="1">
      <c r="A766" s="6" t="s">
        <v>29</v>
      </c>
      <c r="B766" s="6" t="s">
        <v>29</v>
      </c>
      <c r="C766" s="7" t="str">
        <f>IF(A766="","",IFERROR(IF(VLOOKUP(B766,Bibliotheques!$A$10:$B$59,2,FALSE)=0,"Nom manquant",VLOOKUP(B766,Bibliotheques!$A$10:$B$59,2,FALSE)),"Clé inconnue"))</f>
        <v/>
      </c>
      <c r="D766" s="6" t="s">
        <v>29</v>
      </c>
      <c r="E766" s="7" t="str">
        <f t="shared" si="11"/>
        <v/>
      </c>
      <c r="F766" s="6" t="s">
        <v>29</v>
      </c>
      <c r="G766" s="6" t="s">
        <v>29</v>
      </c>
      <c r="H766" s="8" t="str">
        <f>IF(A766="","",Bibliotheques!$B$5&amp;IF(RIGHT(Bibliotheques!$B$5,1)="/","","/")&amp;SUBSTITUTE(A766," ","%20"))</f>
        <v/>
      </c>
      <c r="I766" s="6" t="s">
        <v>29</v>
      </c>
      <c r="J766" s="6" t="s">
        <v>29</v>
      </c>
    </row>
    <row r="767" spans="1:10" ht="33.950000000000003" customHeight="1">
      <c r="A767" s="6" t="s">
        <v>29</v>
      </c>
      <c r="B767" s="6" t="s">
        <v>29</v>
      </c>
      <c r="C767" s="7" t="str">
        <f>IF(A767="","",IFERROR(IF(VLOOKUP(B767,Bibliotheques!$A$10:$B$59,2,FALSE)=0,"Nom manquant",VLOOKUP(B767,Bibliotheques!$A$10:$B$59,2,FALSE)),"Clé inconnue"))</f>
        <v/>
      </c>
      <c r="D767" s="6" t="s">
        <v>29</v>
      </c>
      <c r="E767" s="7" t="str">
        <f t="shared" si="11"/>
        <v/>
      </c>
      <c r="F767" s="6" t="s">
        <v>29</v>
      </c>
      <c r="G767" s="6" t="s">
        <v>29</v>
      </c>
      <c r="H767" s="8" t="str">
        <f>IF(A767="","",Bibliotheques!$B$5&amp;IF(RIGHT(Bibliotheques!$B$5,1)="/","","/")&amp;SUBSTITUTE(A767," ","%20"))</f>
        <v/>
      </c>
      <c r="I767" s="6" t="s">
        <v>29</v>
      </c>
      <c r="J767" s="6" t="s">
        <v>29</v>
      </c>
    </row>
    <row r="768" spans="1:10" ht="33.950000000000003" customHeight="1">
      <c r="A768" s="6" t="s">
        <v>29</v>
      </c>
      <c r="B768" s="6" t="s">
        <v>29</v>
      </c>
      <c r="C768" s="7" t="str">
        <f>IF(A768="","",IFERROR(IF(VLOOKUP(B768,Bibliotheques!$A$10:$B$59,2,FALSE)=0,"Nom manquant",VLOOKUP(B768,Bibliotheques!$A$10:$B$59,2,FALSE)),"Clé inconnue"))</f>
        <v/>
      </c>
      <c r="D768" s="6" t="s">
        <v>29</v>
      </c>
      <c r="E768" s="7" t="str">
        <f t="shared" si="11"/>
        <v/>
      </c>
      <c r="F768" s="6" t="s">
        <v>29</v>
      </c>
      <c r="G768" s="6" t="s">
        <v>29</v>
      </c>
      <c r="H768" s="8" t="str">
        <f>IF(A768="","",Bibliotheques!$B$5&amp;IF(RIGHT(Bibliotheques!$B$5,1)="/","","/")&amp;SUBSTITUTE(A768," ","%20"))</f>
        <v/>
      </c>
      <c r="I768" s="6" t="s">
        <v>29</v>
      </c>
      <c r="J768" s="6" t="s">
        <v>29</v>
      </c>
    </row>
    <row r="769" spans="1:10" ht="33.950000000000003" customHeight="1">
      <c r="A769" s="6" t="s">
        <v>29</v>
      </c>
      <c r="B769" s="6" t="s">
        <v>29</v>
      </c>
      <c r="C769" s="7" t="str">
        <f>IF(A769="","",IFERROR(IF(VLOOKUP(B769,Bibliotheques!$A$10:$B$59,2,FALSE)=0,"Nom manquant",VLOOKUP(B769,Bibliotheques!$A$10:$B$59,2,FALSE)),"Clé inconnue"))</f>
        <v/>
      </c>
      <c r="D769" s="6" t="s">
        <v>29</v>
      </c>
      <c r="E769" s="7" t="str">
        <f t="shared" si="11"/>
        <v/>
      </c>
      <c r="F769" s="6" t="s">
        <v>29</v>
      </c>
      <c r="G769" s="6" t="s">
        <v>29</v>
      </c>
      <c r="H769" s="8" t="str">
        <f>IF(A769="","",Bibliotheques!$B$5&amp;IF(RIGHT(Bibliotheques!$B$5,1)="/","","/")&amp;SUBSTITUTE(A769," ","%20"))</f>
        <v/>
      </c>
      <c r="I769" s="6" t="s">
        <v>29</v>
      </c>
      <c r="J769" s="6" t="s">
        <v>29</v>
      </c>
    </row>
    <row r="770" spans="1:10" ht="33.950000000000003" customHeight="1">
      <c r="A770" s="6" t="s">
        <v>29</v>
      </c>
      <c r="B770" s="6" t="s">
        <v>29</v>
      </c>
      <c r="C770" s="7" t="str">
        <f>IF(A770="","",IFERROR(IF(VLOOKUP(B770,Bibliotheques!$A$10:$B$59,2,FALSE)=0,"Nom manquant",VLOOKUP(B770,Bibliotheques!$A$10:$B$59,2,FALSE)),"Clé inconnue"))</f>
        <v/>
      </c>
      <c r="D770" s="6" t="s">
        <v>29</v>
      </c>
      <c r="E770" s="7" t="str">
        <f t="shared" si="11"/>
        <v/>
      </c>
      <c r="F770" s="6" t="s">
        <v>29</v>
      </c>
      <c r="G770" s="6" t="s">
        <v>29</v>
      </c>
      <c r="H770" s="8" t="str">
        <f>IF(A770="","",Bibliotheques!$B$5&amp;IF(RIGHT(Bibliotheques!$B$5,1)="/","","/")&amp;SUBSTITUTE(A770," ","%20"))</f>
        <v/>
      </c>
      <c r="I770" s="6" t="s">
        <v>29</v>
      </c>
      <c r="J770" s="6" t="s">
        <v>29</v>
      </c>
    </row>
    <row r="771" spans="1:10" ht="33.950000000000003" customHeight="1">
      <c r="A771" s="6" t="s">
        <v>29</v>
      </c>
      <c r="B771" s="6" t="s">
        <v>29</v>
      </c>
      <c r="C771" s="7" t="str">
        <f>IF(A771="","",IFERROR(IF(VLOOKUP(B771,Bibliotheques!$A$10:$B$59,2,FALSE)=0,"Nom manquant",VLOOKUP(B771,Bibliotheques!$A$10:$B$59,2,FALSE)),"Clé inconnue"))</f>
        <v/>
      </c>
      <c r="D771" s="6" t="s">
        <v>29</v>
      </c>
      <c r="E771" s="7" t="str">
        <f t="shared" si="11"/>
        <v/>
      </c>
      <c r="F771" s="6" t="s">
        <v>29</v>
      </c>
      <c r="G771" s="6" t="s">
        <v>29</v>
      </c>
      <c r="H771" s="8" t="str">
        <f>IF(A771="","",Bibliotheques!$B$5&amp;IF(RIGHT(Bibliotheques!$B$5,1)="/","","/")&amp;SUBSTITUTE(A771," ","%20"))</f>
        <v/>
      </c>
      <c r="I771" s="6" t="s">
        <v>29</v>
      </c>
      <c r="J771" s="6" t="s">
        <v>29</v>
      </c>
    </row>
    <row r="772" spans="1:10" ht="33.950000000000003" customHeight="1">
      <c r="A772" s="6" t="s">
        <v>29</v>
      </c>
      <c r="B772" s="6" t="s">
        <v>29</v>
      </c>
      <c r="C772" s="7" t="str">
        <f>IF(A772="","",IFERROR(IF(VLOOKUP(B772,Bibliotheques!$A$10:$B$59,2,FALSE)=0,"Nom manquant",VLOOKUP(B772,Bibliotheques!$A$10:$B$59,2,FALSE)),"Clé inconnue"))</f>
        <v/>
      </c>
      <c r="D772" s="6" t="s">
        <v>29</v>
      </c>
      <c r="E772" s="7" t="str">
        <f t="shared" si="11"/>
        <v/>
      </c>
      <c r="F772" s="6" t="s">
        <v>29</v>
      </c>
      <c r="G772" s="6" t="s">
        <v>29</v>
      </c>
      <c r="H772" s="8" t="str">
        <f>IF(A772="","",Bibliotheques!$B$5&amp;IF(RIGHT(Bibliotheques!$B$5,1)="/","","/")&amp;SUBSTITUTE(A772," ","%20"))</f>
        <v/>
      </c>
      <c r="I772" s="6" t="s">
        <v>29</v>
      </c>
      <c r="J772" s="6" t="s">
        <v>29</v>
      </c>
    </row>
    <row r="773" spans="1:10" ht="33.950000000000003" customHeight="1">
      <c r="A773" s="6" t="s">
        <v>29</v>
      </c>
      <c r="B773" s="6" t="s">
        <v>29</v>
      </c>
      <c r="C773" s="7" t="str">
        <f>IF(A773="","",IFERROR(IF(VLOOKUP(B773,Bibliotheques!$A$10:$B$59,2,FALSE)=0,"Nom manquant",VLOOKUP(B773,Bibliotheques!$A$10:$B$59,2,FALSE)),"Clé inconnue"))</f>
        <v/>
      </c>
      <c r="D773" s="6" t="s">
        <v>29</v>
      </c>
      <c r="E773" s="7" t="str">
        <f t="shared" si="11"/>
        <v/>
      </c>
      <c r="F773" s="6" t="s">
        <v>29</v>
      </c>
      <c r="G773" s="6" t="s">
        <v>29</v>
      </c>
      <c r="H773" s="8" t="str">
        <f>IF(A773="","",Bibliotheques!$B$5&amp;IF(RIGHT(Bibliotheques!$B$5,1)="/","","/")&amp;SUBSTITUTE(A773," ","%20"))</f>
        <v/>
      </c>
      <c r="I773" s="6" t="s">
        <v>29</v>
      </c>
      <c r="J773" s="6" t="s">
        <v>29</v>
      </c>
    </row>
    <row r="774" spans="1:10" ht="33.950000000000003" customHeight="1">
      <c r="A774" s="6" t="s">
        <v>29</v>
      </c>
      <c r="B774" s="6" t="s">
        <v>29</v>
      </c>
      <c r="C774" s="7" t="str">
        <f>IF(A774="","",IFERROR(IF(VLOOKUP(B774,Bibliotheques!$A$10:$B$59,2,FALSE)=0,"Nom manquant",VLOOKUP(B774,Bibliotheques!$A$10:$B$59,2,FALSE)),"Clé inconnue"))</f>
        <v/>
      </c>
      <c r="D774" s="6" t="s">
        <v>29</v>
      </c>
      <c r="E774" s="7" t="str">
        <f t="shared" ref="E774:E837" si="12">IF(A774="","",LOWER(B774&amp;"-"&amp;SUBSTITUTE(SUBSTITUTE(SUBSTITUTE(LOWER(A774),".svg","")," ","-"),"/","-")))</f>
        <v/>
      </c>
      <c r="F774" s="6" t="s">
        <v>29</v>
      </c>
      <c r="G774" s="6" t="s">
        <v>29</v>
      </c>
      <c r="H774" s="8" t="str">
        <f>IF(A774="","",Bibliotheques!$B$5&amp;IF(RIGHT(Bibliotheques!$B$5,1)="/","","/")&amp;SUBSTITUTE(A774," ","%20"))</f>
        <v/>
      </c>
      <c r="I774" s="6" t="s">
        <v>29</v>
      </c>
      <c r="J774" s="6" t="s">
        <v>29</v>
      </c>
    </row>
    <row r="775" spans="1:10" ht="33.950000000000003" customHeight="1">
      <c r="A775" s="6" t="s">
        <v>29</v>
      </c>
      <c r="B775" s="6" t="s">
        <v>29</v>
      </c>
      <c r="C775" s="7" t="str">
        <f>IF(A775="","",IFERROR(IF(VLOOKUP(B775,Bibliotheques!$A$10:$B$59,2,FALSE)=0,"Nom manquant",VLOOKUP(B775,Bibliotheques!$A$10:$B$59,2,FALSE)),"Clé inconnue"))</f>
        <v/>
      </c>
      <c r="D775" s="6" t="s">
        <v>29</v>
      </c>
      <c r="E775" s="7" t="str">
        <f t="shared" si="12"/>
        <v/>
      </c>
      <c r="F775" s="6" t="s">
        <v>29</v>
      </c>
      <c r="G775" s="6" t="s">
        <v>29</v>
      </c>
      <c r="H775" s="8" t="str">
        <f>IF(A775="","",Bibliotheques!$B$5&amp;IF(RIGHT(Bibliotheques!$B$5,1)="/","","/")&amp;SUBSTITUTE(A775," ","%20"))</f>
        <v/>
      </c>
      <c r="I775" s="6" t="s">
        <v>29</v>
      </c>
      <c r="J775" s="6" t="s">
        <v>29</v>
      </c>
    </row>
    <row r="776" spans="1:10" ht="33.950000000000003" customHeight="1">
      <c r="A776" s="6" t="s">
        <v>29</v>
      </c>
      <c r="B776" s="6" t="s">
        <v>29</v>
      </c>
      <c r="C776" s="7" t="str">
        <f>IF(A776="","",IFERROR(IF(VLOOKUP(B776,Bibliotheques!$A$10:$B$59,2,FALSE)=0,"Nom manquant",VLOOKUP(B776,Bibliotheques!$A$10:$B$59,2,FALSE)),"Clé inconnue"))</f>
        <v/>
      </c>
      <c r="D776" s="6" t="s">
        <v>29</v>
      </c>
      <c r="E776" s="7" t="str">
        <f t="shared" si="12"/>
        <v/>
      </c>
      <c r="F776" s="6" t="s">
        <v>29</v>
      </c>
      <c r="G776" s="6" t="s">
        <v>29</v>
      </c>
      <c r="H776" s="8" t="str">
        <f>IF(A776="","",Bibliotheques!$B$5&amp;IF(RIGHT(Bibliotheques!$B$5,1)="/","","/")&amp;SUBSTITUTE(A776," ","%20"))</f>
        <v/>
      </c>
      <c r="I776" s="6" t="s">
        <v>29</v>
      </c>
      <c r="J776" s="6" t="s">
        <v>29</v>
      </c>
    </row>
    <row r="777" spans="1:10" ht="33.950000000000003" customHeight="1">
      <c r="A777" s="6" t="s">
        <v>29</v>
      </c>
      <c r="B777" s="6" t="s">
        <v>29</v>
      </c>
      <c r="C777" s="7" t="str">
        <f>IF(A777="","",IFERROR(IF(VLOOKUP(B777,Bibliotheques!$A$10:$B$59,2,FALSE)=0,"Nom manquant",VLOOKUP(B777,Bibliotheques!$A$10:$B$59,2,FALSE)),"Clé inconnue"))</f>
        <v/>
      </c>
      <c r="D777" s="6" t="s">
        <v>29</v>
      </c>
      <c r="E777" s="7" t="str">
        <f t="shared" si="12"/>
        <v/>
      </c>
      <c r="F777" s="6" t="s">
        <v>29</v>
      </c>
      <c r="G777" s="6" t="s">
        <v>29</v>
      </c>
      <c r="H777" s="8" t="str">
        <f>IF(A777="","",Bibliotheques!$B$5&amp;IF(RIGHT(Bibliotheques!$B$5,1)="/","","/")&amp;SUBSTITUTE(A777," ","%20"))</f>
        <v/>
      </c>
      <c r="I777" s="6" t="s">
        <v>29</v>
      </c>
      <c r="J777" s="6" t="s">
        <v>29</v>
      </c>
    </row>
    <row r="778" spans="1:10" ht="33.950000000000003" customHeight="1">
      <c r="A778" s="6" t="s">
        <v>29</v>
      </c>
      <c r="B778" s="6" t="s">
        <v>29</v>
      </c>
      <c r="C778" s="7" t="str">
        <f>IF(A778="","",IFERROR(IF(VLOOKUP(B778,Bibliotheques!$A$10:$B$59,2,FALSE)=0,"Nom manquant",VLOOKUP(B778,Bibliotheques!$A$10:$B$59,2,FALSE)),"Clé inconnue"))</f>
        <v/>
      </c>
      <c r="D778" s="6" t="s">
        <v>29</v>
      </c>
      <c r="E778" s="7" t="str">
        <f t="shared" si="12"/>
        <v/>
      </c>
      <c r="F778" s="6" t="s">
        <v>29</v>
      </c>
      <c r="G778" s="6" t="s">
        <v>29</v>
      </c>
      <c r="H778" s="8" t="str">
        <f>IF(A778="","",Bibliotheques!$B$5&amp;IF(RIGHT(Bibliotheques!$B$5,1)="/","","/")&amp;SUBSTITUTE(A778," ","%20"))</f>
        <v/>
      </c>
      <c r="I778" s="6" t="s">
        <v>29</v>
      </c>
      <c r="J778" s="6" t="s">
        <v>29</v>
      </c>
    </row>
    <row r="779" spans="1:10" ht="33.950000000000003" customHeight="1">
      <c r="A779" s="6" t="s">
        <v>29</v>
      </c>
      <c r="B779" s="6" t="s">
        <v>29</v>
      </c>
      <c r="C779" s="7" t="str">
        <f>IF(A779="","",IFERROR(IF(VLOOKUP(B779,Bibliotheques!$A$10:$B$59,2,FALSE)=0,"Nom manquant",VLOOKUP(B779,Bibliotheques!$A$10:$B$59,2,FALSE)),"Clé inconnue"))</f>
        <v/>
      </c>
      <c r="D779" s="6" t="s">
        <v>29</v>
      </c>
      <c r="E779" s="7" t="str">
        <f t="shared" si="12"/>
        <v/>
      </c>
      <c r="F779" s="6" t="s">
        <v>29</v>
      </c>
      <c r="G779" s="6" t="s">
        <v>29</v>
      </c>
      <c r="H779" s="8" t="str">
        <f>IF(A779="","",Bibliotheques!$B$5&amp;IF(RIGHT(Bibliotheques!$B$5,1)="/","","/")&amp;SUBSTITUTE(A779," ","%20"))</f>
        <v/>
      </c>
      <c r="I779" s="6" t="s">
        <v>29</v>
      </c>
      <c r="J779" s="6" t="s">
        <v>29</v>
      </c>
    </row>
    <row r="780" spans="1:10" ht="33.950000000000003" customHeight="1">
      <c r="A780" s="6" t="s">
        <v>29</v>
      </c>
      <c r="B780" s="6" t="s">
        <v>29</v>
      </c>
      <c r="C780" s="7" t="str">
        <f>IF(A780="","",IFERROR(IF(VLOOKUP(B780,Bibliotheques!$A$10:$B$59,2,FALSE)=0,"Nom manquant",VLOOKUP(B780,Bibliotheques!$A$10:$B$59,2,FALSE)),"Clé inconnue"))</f>
        <v/>
      </c>
      <c r="D780" s="6" t="s">
        <v>29</v>
      </c>
      <c r="E780" s="7" t="str">
        <f t="shared" si="12"/>
        <v/>
      </c>
      <c r="F780" s="6" t="s">
        <v>29</v>
      </c>
      <c r="G780" s="6" t="s">
        <v>29</v>
      </c>
      <c r="H780" s="8" t="str">
        <f>IF(A780="","",Bibliotheques!$B$5&amp;IF(RIGHT(Bibliotheques!$B$5,1)="/","","/")&amp;SUBSTITUTE(A780," ","%20"))</f>
        <v/>
      </c>
      <c r="I780" s="6" t="s">
        <v>29</v>
      </c>
      <c r="J780" s="6" t="s">
        <v>29</v>
      </c>
    </row>
    <row r="781" spans="1:10" ht="33.950000000000003" customHeight="1">
      <c r="A781" s="6" t="s">
        <v>29</v>
      </c>
      <c r="B781" s="6" t="s">
        <v>29</v>
      </c>
      <c r="C781" s="7" t="str">
        <f>IF(A781="","",IFERROR(IF(VLOOKUP(B781,Bibliotheques!$A$10:$B$59,2,FALSE)=0,"Nom manquant",VLOOKUP(B781,Bibliotheques!$A$10:$B$59,2,FALSE)),"Clé inconnue"))</f>
        <v/>
      </c>
      <c r="D781" s="6" t="s">
        <v>29</v>
      </c>
      <c r="E781" s="7" t="str">
        <f t="shared" si="12"/>
        <v/>
      </c>
      <c r="F781" s="6" t="s">
        <v>29</v>
      </c>
      <c r="G781" s="6" t="s">
        <v>29</v>
      </c>
      <c r="H781" s="8" t="str">
        <f>IF(A781="","",Bibliotheques!$B$5&amp;IF(RIGHT(Bibliotheques!$B$5,1)="/","","/")&amp;SUBSTITUTE(A781," ","%20"))</f>
        <v/>
      </c>
      <c r="I781" s="6" t="s">
        <v>29</v>
      </c>
      <c r="J781" s="6" t="s">
        <v>29</v>
      </c>
    </row>
    <row r="782" spans="1:10" ht="33.950000000000003" customHeight="1">
      <c r="A782" s="6" t="s">
        <v>29</v>
      </c>
      <c r="B782" s="6" t="s">
        <v>29</v>
      </c>
      <c r="C782" s="7" t="str">
        <f>IF(A782="","",IFERROR(IF(VLOOKUP(B782,Bibliotheques!$A$10:$B$59,2,FALSE)=0,"Nom manquant",VLOOKUP(B782,Bibliotheques!$A$10:$B$59,2,FALSE)),"Clé inconnue"))</f>
        <v/>
      </c>
      <c r="D782" s="6" t="s">
        <v>29</v>
      </c>
      <c r="E782" s="7" t="str">
        <f t="shared" si="12"/>
        <v/>
      </c>
      <c r="F782" s="6" t="s">
        <v>29</v>
      </c>
      <c r="G782" s="6" t="s">
        <v>29</v>
      </c>
      <c r="H782" s="8" t="str">
        <f>IF(A782="","",Bibliotheques!$B$5&amp;IF(RIGHT(Bibliotheques!$B$5,1)="/","","/")&amp;SUBSTITUTE(A782," ","%20"))</f>
        <v/>
      </c>
      <c r="I782" s="6" t="s">
        <v>29</v>
      </c>
      <c r="J782" s="6" t="s">
        <v>29</v>
      </c>
    </row>
    <row r="783" spans="1:10" ht="33.950000000000003" customHeight="1">
      <c r="A783" s="6" t="s">
        <v>29</v>
      </c>
      <c r="B783" s="6" t="s">
        <v>29</v>
      </c>
      <c r="C783" s="7" t="str">
        <f>IF(A783="","",IFERROR(IF(VLOOKUP(B783,Bibliotheques!$A$10:$B$59,2,FALSE)=0,"Nom manquant",VLOOKUP(B783,Bibliotheques!$A$10:$B$59,2,FALSE)),"Clé inconnue"))</f>
        <v/>
      </c>
      <c r="D783" s="6" t="s">
        <v>29</v>
      </c>
      <c r="E783" s="7" t="str">
        <f t="shared" si="12"/>
        <v/>
      </c>
      <c r="F783" s="6" t="s">
        <v>29</v>
      </c>
      <c r="G783" s="6" t="s">
        <v>29</v>
      </c>
      <c r="H783" s="8" t="str">
        <f>IF(A783="","",Bibliotheques!$B$5&amp;IF(RIGHT(Bibliotheques!$B$5,1)="/","","/")&amp;SUBSTITUTE(A783," ","%20"))</f>
        <v/>
      </c>
      <c r="I783" s="6" t="s">
        <v>29</v>
      </c>
      <c r="J783" s="6" t="s">
        <v>29</v>
      </c>
    </row>
    <row r="784" spans="1:10" ht="33.950000000000003" customHeight="1">
      <c r="A784" s="6" t="s">
        <v>29</v>
      </c>
      <c r="B784" s="6" t="s">
        <v>29</v>
      </c>
      <c r="C784" s="7" t="str">
        <f>IF(A784="","",IFERROR(IF(VLOOKUP(B784,Bibliotheques!$A$10:$B$59,2,FALSE)=0,"Nom manquant",VLOOKUP(B784,Bibliotheques!$A$10:$B$59,2,FALSE)),"Clé inconnue"))</f>
        <v/>
      </c>
      <c r="D784" s="6" t="s">
        <v>29</v>
      </c>
      <c r="E784" s="7" t="str">
        <f t="shared" si="12"/>
        <v/>
      </c>
      <c r="F784" s="6" t="s">
        <v>29</v>
      </c>
      <c r="G784" s="6" t="s">
        <v>29</v>
      </c>
      <c r="H784" s="8" t="str">
        <f>IF(A784="","",Bibliotheques!$B$5&amp;IF(RIGHT(Bibliotheques!$B$5,1)="/","","/")&amp;SUBSTITUTE(A784," ","%20"))</f>
        <v/>
      </c>
      <c r="I784" s="6" t="s">
        <v>29</v>
      </c>
      <c r="J784" s="6" t="s">
        <v>29</v>
      </c>
    </row>
    <row r="785" spans="1:10" ht="33.950000000000003" customHeight="1">
      <c r="A785" s="6" t="s">
        <v>29</v>
      </c>
      <c r="B785" s="6" t="s">
        <v>29</v>
      </c>
      <c r="C785" s="7" t="str">
        <f>IF(A785="","",IFERROR(IF(VLOOKUP(B785,Bibliotheques!$A$10:$B$59,2,FALSE)=0,"Nom manquant",VLOOKUP(B785,Bibliotheques!$A$10:$B$59,2,FALSE)),"Clé inconnue"))</f>
        <v/>
      </c>
      <c r="D785" s="6" t="s">
        <v>29</v>
      </c>
      <c r="E785" s="7" t="str">
        <f t="shared" si="12"/>
        <v/>
      </c>
      <c r="F785" s="6" t="s">
        <v>29</v>
      </c>
      <c r="G785" s="6" t="s">
        <v>29</v>
      </c>
      <c r="H785" s="8" t="str">
        <f>IF(A785="","",Bibliotheques!$B$5&amp;IF(RIGHT(Bibliotheques!$B$5,1)="/","","/")&amp;SUBSTITUTE(A785," ","%20"))</f>
        <v/>
      </c>
      <c r="I785" s="6" t="s">
        <v>29</v>
      </c>
      <c r="J785" s="6" t="s">
        <v>29</v>
      </c>
    </row>
    <row r="786" spans="1:10" ht="33.950000000000003" customHeight="1">
      <c r="A786" s="6" t="s">
        <v>29</v>
      </c>
      <c r="B786" s="6" t="s">
        <v>29</v>
      </c>
      <c r="C786" s="7" t="str">
        <f>IF(A786="","",IFERROR(IF(VLOOKUP(B786,Bibliotheques!$A$10:$B$59,2,FALSE)=0,"Nom manquant",VLOOKUP(B786,Bibliotheques!$A$10:$B$59,2,FALSE)),"Clé inconnue"))</f>
        <v/>
      </c>
      <c r="D786" s="6" t="s">
        <v>29</v>
      </c>
      <c r="E786" s="7" t="str">
        <f t="shared" si="12"/>
        <v/>
      </c>
      <c r="F786" s="6" t="s">
        <v>29</v>
      </c>
      <c r="G786" s="6" t="s">
        <v>29</v>
      </c>
      <c r="H786" s="8" t="str">
        <f>IF(A786="","",Bibliotheques!$B$5&amp;IF(RIGHT(Bibliotheques!$B$5,1)="/","","/")&amp;SUBSTITUTE(A786," ","%20"))</f>
        <v/>
      </c>
      <c r="I786" s="6" t="s">
        <v>29</v>
      </c>
      <c r="J786" s="6" t="s">
        <v>29</v>
      </c>
    </row>
    <row r="787" spans="1:10" ht="33.950000000000003" customHeight="1">
      <c r="A787" s="6" t="s">
        <v>29</v>
      </c>
      <c r="B787" s="6" t="s">
        <v>29</v>
      </c>
      <c r="C787" s="7" t="str">
        <f>IF(A787="","",IFERROR(IF(VLOOKUP(B787,Bibliotheques!$A$10:$B$59,2,FALSE)=0,"Nom manquant",VLOOKUP(B787,Bibliotheques!$A$10:$B$59,2,FALSE)),"Clé inconnue"))</f>
        <v/>
      </c>
      <c r="D787" s="6" t="s">
        <v>29</v>
      </c>
      <c r="E787" s="7" t="str">
        <f t="shared" si="12"/>
        <v/>
      </c>
      <c r="F787" s="6" t="s">
        <v>29</v>
      </c>
      <c r="G787" s="6" t="s">
        <v>29</v>
      </c>
      <c r="H787" s="8" t="str">
        <f>IF(A787="","",Bibliotheques!$B$5&amp;IF(RIGHT(Bibliotheques!$B$5,1)="/","","/")&amp;SUBSTITUTE(A787," ","%20"))</f>
        <v/>
      </c>
      <c r="I787" s="6" t="s">
        <v>29</v>
      </c>
      <c r="J787" s="6" t="s">
        <v>29</v>
      </c>
    </row>
    <row r="788" spans="1:10" ht="33.950000000000003" customHeight="1">
      <c r="A788" s="6" t="s">
        <v>29</v>
      </c>
      <c r="B788" s="6" t="s">
        <v>29</v>
      </c>
      <c r="C788" s="7" t="str">
        <f>IF(A788="","",IFERROR(IF(VLOOKUP(B788,Bibliotheques!$A$10:$B$59,2,FALSE)=0,"Nom manquant",VLOOKUP(B788,Bibliotheques!$A$10:$B$59,2,FALSE)),"Clé inconnue"))</f>
        <v/>
      </c>
      <c r="D788" s="6" t="s">
        <v>29</v>
      </c>
      <c r="E788" s="7" t="str">
        <f t="shared" si="12"/>
        <v/>
      </c>
      <c r="F788" s="6" t="s">
        <v>29</v>
      </c>
      <c r="G788" s="6" t="s">
        <v>29</v>
      </c>
      <c r="H788" s="8" t="str">
        <f>IF(A788="","",Bibliotheques!$B$5&amp;IF(RIGHT(Bibliotheques!$B$5,1)="/","","/")&amp;SUBSTITUTE(A788," ","%20"))</f>
        <v/>
      </c>
      <c r="I788" s="6" t="s">
        <v>29</v>
      </c>
      <c r="J788" s="6" t="s">
        <v>29</v>
      </c>
    </row>
    <row r="789" spans="1:10" ht="33.950000000000003" customHeight="1">
      <c r="A789" s="6" t="s">
        <v>29</v>
      </c>
      <c r="B789" s="6" t="s">
        <v>29</v>
      </c>
      <c r="C789" s="7" t="str">
        <f>IF(A789="","",IFERROR(IF(VLOOKUP(B789,Bibliotheques!$A$10:$B$59,2,FALSE)=0,"Nom manquant",VLOOKUP(B789,Bibliotheques!$A$10:$B$59,2,FALSE)),"Clé inconnue"))</f>
        <v/>
      </c>
      <c r="D789" s="6" t="s">
        <v>29</v>
      </c>
      <c r="E789" s="7" t="str">
        <f t="shared" si="12"/>
        <v/>
      </c>
      <c r="F789" s="6" t="s">
        <v>29</v>
      </c>
      <c r="G789" s="6" t="s">
        <v>29</v>
      </c>
      <c r="H789" s="8" t="str">
        <f>IF(A789="","",Bibliotheques!$B$5&amp;IF(RIGHT(Bibliotheques!$B$5,1)="/","","/")&amp;SUBSTITUTE(A789," ","%20"))</f>
        <v/>
      </c>
      <c r="I789" s="6" t="s">
        <v>29</v>
      </c>
      <c r="J789" s="6" t="s">
        <v>29</v>
      </c>
    </row>
    <row r="790" spans="1:10" ht="33.950000000000003" customHeight="1">
      <c r="A790" s="6" t="s">
        <v>29</v>
      </c>
      <c r="B790" s="6" t="s">
        <v>29</v>
      </c>
      <c r="C790" s="7" t="str">
        <f>IF(A790="","",IFERROR(IF(VLOOKUP(B790,Bibliotheques!$A$10:$B$59,2,FALSE)=0,"Nom manquant",VLOOKUP(B790,Bibliotheques!$A$10:$B$59,2,FALSE)),"Clé inconnue"))</f>
        <v/>
      </c>
      <c r="D790" s="6" t="s">
        <v>29</v>
      </c>
      <c r="E790" s="7" t="str">
        <f t="shared" si="12"/>
        <v/>
      </c>
      <c r="F790" s="6" t="s">
        <v>29</v>
      </c>
      <c r="G790" s="6" t="s">
        <v>29</v>
      </c>
      <c r="H790" s="8" t="str">
        <f>IF(A790="","",Bibliotheques!$B$5&amp;IF(RIGHT(Bibliotheques!$B$5,1)="/","","/")&amp;SUBSTITUTE(A790," ","%20"))</f>
        <v/>
      </c>
      <c r="I790" s="6" t="s">
        <v>29</v>
      </c>
      <c r="J790" s="6" t="s">
        <v>29</v>
      </c>
    </row>
    <row r="791" spans="1:10" ht="33.950000000000003" customHeight="1">
      <c r="A791" s="6" t="s">
        <v>29</v>
      </c>
      <c r="B791" s="6" t="s">
        <v>29</v>
      </c>
      <c r="C791" s="7" t="str">
        <f>IF(A791="","",IFERROR(IF(VLOOKUP(B791,Bibliotheques!$A$10:$B$59,2,FALSE)=0,"Nom manquant",VLOOKUP(B791,Bibliotheques!$A$10:$B$59,2,FALSE)),"Clé inconnue"))</f>
        <v/>
      </c>
      <c r="D791" s="6" t="s">
        <v>29</v>
      </c>
      <c r="E791" s="7" t="str">
        <f t="shared" si="12"/>
        <v/>
      </c>
      <c r="F791" s="6" t="s">
        <v>29</v>
      </c>
      <c r="G791" s="6" t="s">
        <v>29</v>
      </c>
      <c r="H791" s="8" t="str">
        <f>IF(A791="","",Bibliotheques!$B$5&amp;IF(RIGHT(Bibliotheques!$B$5,1)="/","","/")&amp;SUBSTITUTE(A791," ","%20"))</f>
        <v/>
      </c>
      <c r="I791" s="6" t="s">
        <v>29</v>
      </c>
      <c r="J791" s="6" t="s">
        <v>29</v>
      </c>
    </row>
    <row r="792" spans="1:10" ht="33.950000000000003" customHeight="1">
      <c r="A792" s="6" t="s">
        <v>29</v>
      </c>
      <c r="B792" s="6" t="s">
        <v>29</v>
      </c>
      <c r="C792" s="7" t="str">
        <f>IF(A792="","",IFERROR(IF(VLOOKUP(B792,Bibliotheques!$A$10:$B$59,2,FALSE)=0,"Nom manquant",VLOOKUP(B792,Bibliotheques!$A$10:$B$59,2,FALSE)),"Clé inconnue"))</f>
        <v/>
      </c>
      <c r="D792" s="6" t="s">
        <v>29</v>
      </c>
      <c r="E792" s="7" t="str">
        <f t="shared" si="12"/>
        <v/>
      </c>
      <c r="F792" s="6" t="s">
        <v>29</v>
      </c>
      <c r="G792" s="6" t="s">
        <v>29</v>
      </c>
      <c r="H792" s="8" t="str">
        <f>IF(A792="","",Bibliotheques!$B$5&amp;IF(RIGHT(Bibliotheques!$B$5,1)="/","","/")&amp;SUBSTITUTE(A792," ","%20"))</f>
        <v/>
      </c>
      <c r="I792" s="6" t="s">
        <v>29</v>
      </c>
      <c r="J792" s="6" t="s">
        <v>29</v>
      </c>
    </row>
    <row r="793" spans="1:10" ht="33.950000000000003" customHeight="1">
      <c r="A793" s="6" t="s">
        <v>29</v>
      </c>
      <c r="B793" s="6" t="s">
        <v>29</v>
      </c>
      <c r="C793" s="7" t="str">
        <f>IF(A793="","",IFERROR(IF(VLOOKUP(B793,Bibliotheques!$A$10:$B$59,2,FALSE)=0,"Nom manquant",VLOOKUP(B793,Bibliotheques!$A$10:$B$59,2,FALSE)),"Clé inconnue"))</f>
        <v/>
      </c>
      <c r="D793" s="6" t="s">
        <v>29</v>
      </c>
      <c r="E793" s="7" t="str">
        <f t="shared" si="12"/>
        <v/>
      </c>
      <c r="F793" s="6" t="s">
        <v>29</v>
      </c>
      <c r="G793" s="6" t="s">
        <v>29</v>
      </c>
      <c r="H793" s="8" t="str">
        <f>IF(A793="","",Bibliotheques!$B$5&amp;IF(RIGHT(Bibliotheques!$B$5,1)="/","","/")&amp;SUBSTITUTE(A793," ","%20"))</f>
        <v/>
      </c>
      <c r="I793" s="6" t="s">
        <v>29</v>
      </c>
      <c r="J793" s="6" t="s">
        <v>29</v>
      </c>
    </row>
    <row r="794" spans="1:10" ht="33.950000000000003" customHeight="1">
      <c r="A794" s="6" t="s">
        <v>29</v>
      </c>
      <c r="B794" s="6" t="s">
        <v>29</v>
      </c>
      <c r="C794" s="7" t="str">
        <f>IF(A794="","",IFERROR(IF(VLOOKUP(B794,Bibliotheques!$A$10:$B$59,2,FALSE)=0,"Nom manquant",VLOOKUP(B794,Bibliotheques!$A$10:$B$59,2,FALSE)),"Clé inconnue"))</f>
        <v/>
      </c>
      <c r="D794" s="6" t="s">
        <v>29</v>
      </c>
      <c r="E794" s="7" t="str">
        <f t="shared" si="12"/>
        <v/>
      </c>
      <c r="F794" s="6" t="s">
        <v>29</v>
      </c>
      <c r="G794" s="6" t="s">
        <v>29</v>
      </c>
      <c r="H794" s="8" t="str">
        <f>IF(A794="","",Bibliotheques!$B$5&amp;IF(RIGHT(Bibliotheques!$B$5,1)="/","","/")&amp;SUBSTITUTE(A794," ","%20"))</f>
        <v/>
      </c>
      <c r="I794" s="6" t="s">
        <v>29</v>
      </c>
      <c r="J794" s="6" t="s">
        <v>29</v>
      </c>
    </row>
    <row r="795" spans="1:10" ht="33.950000000000003" customHeight="1">
      <c r="A795" s="6" t="s">
        <v>29</v>
      </c>
      <c r="B795" s="6" t="s">
        <v>29</v>
      </c>
      <c r="C795" s="7" t="str">
        <f>IF(A795="","",IFERROR(IF(VLOOKUP(B795,Bibliotheques!$A$10:$B$59,2,FALSE)=0,"Nom manquant",VLOOKUP(B795,Bibliotheques!$A$10:$B$59,2,FALSE)),"Clé inconnue"))</f>
        <v/>
      </c>
      <c r="D795" s="6" t="s">
        <v>29</v>
      </c>
      <c r="E795" s="7" t="str">
        <f t="shared" si="12"/>
        <v/>
      </c>
      <c r="F795" s="6" t="s">
        <v>29</v>
      </c>
      <c r="G795" s="6" t="s">
        <v>29</v>
      </c>
      <c r="H795" s="8" t="str">
        <f>IF(A795="","",Bibliotheques!$B$5&amp;IF(RIGHT(Bibliotheques!$B$5,1)="/","","/")&amp;SUBSTITUTE(A795," ","%20"))</f>
        <v/>
      </c>
      <c r="I795" s="6" t="s">
        <v>29</v>
      </c>
      <c r="J795" s="6" t="s">
        <v>29</v>
      </c>
    </row>
    <row r="796" spans="1:10" ht="33.950000000000003" customHeight="1">
      <c r="A796" s="6" t="s">
        <v>29</v>
      </c>
      <c r="B796" s="6" t="s">
        <v>29</v>
      </c>
      <c r="C796" s="7" t="str">
        <f>IF(A796="","",IFERROR(IF(VLOOKUP(B796,Bibliotheques!$A$10:$B$59,2,FALSE)=0,"Nom manquant",VLOOKUP(B796,Bibliotheques!$A$10:$B$59,2,FALSE)),"Clé inconnue"))</f>
        <v/>
      </c>
      <c r="D796" s="6" t="s">
        <v>29</v>
      </c>
      <c r="E796" s="7" t="str">
        <f t="shared" si="12"/>
        <v/>
      </c>
      <c r="F796" s="6" t="s">
        <v>29</v>
      </c>
      <c r="G796" s="6" t="s">
        <v>29</v>
      </c>
      <c r="H796" s="8" t="str">
        <f>IF(A796="","",Bibliotheques!$B$5&amp;IF(RIGHT(Bibliotheques!$B$5,1)="/","","/")&amp;SUBSTITUTE(A796," ","%20"))</f>
        <v/>
      </c>
      <c r="I796" s="6" t="s">
        <v>29</v>
      </c>
      <c r="J796" s="6" t="s">
        <v>29</v>
      </c>
    </row>
    <row r="797" spans="1:10" ht="33.950000000000003" customHeight="1">
      <c r="A797" s="6" t="s">
        <v>29</v>
      </c>
      <c r="B797" s="6" t="s">
        <v>29</v>
      </c>
      <c r="C797" s="7" t="str">
        <f>IF(A797="","",IFERROR(IF(VLOOKUP(B797,Bibliotheques!$A$10:$B$59,2,FALSE)=0,"Nom manquant",VLOOKUP(B797,Bibliotheques!$A$10:$B$59,2,FALSE)),"Clé inconnue"))</f>
        <v/>
      </c>
      <c r="D797" s="6" t="s">
        <v>29</v>
      </c>
      <c r="E797" s="7" t="str">
        <f t="shared" si="12"/>
        <v/>
      </c>
      <c r="F797" s="6" t="s">
        <v>29</v>
      </c>
      <c r="G797" s="6" t="s">
        <v>29</v>
      </c>
      <c r="H797" s="8" t="str">
        <f>IF(A797="","",Bibliotheques!$B$5&amp;IF(RIGHT(Bibliotheques!$B$5,1)="/","","/")&amp;SUBSTITUTE(A797," ","%20"))</f>
        <v/>
      </c>
      <c r="I797" s="6" t="s">
        <v>29</v>
      </c>
      <c r="J797" s="6" t="s">
        <v>29</v>
      </c>
    </row>
    <row r="798" spans="1:10" ht="33.950000000000003" customHeight="1">
      <c r="A798" s="6" t="s">
        <v>29</v>
      </c>
      <c r="B798" s="6" t="s">
        <v>29</v>
      </c>
      <c r="C798" s="7" t="str">
        <f>IF(A798="","",IFERROR(IF(VLOOKUP(B798,Bibliotheques!$A$10:$B$59,2,FALSE)=0,"Nom manquant",VLOOKUP(B798,Bibliotheques!$A$10:$B$59,2,FALSE)),"Clé inconnue"))</f>
        <v/>
      </c>
      <c r="D798" s="6" t="s">
        <v>29</v>
      </c>
      <c r="E798" s="7" t="str">
        <f t="shared" si="12"/>
        <v/>
      </c>
      <c r="F798" s="6" t="s">
        <v>29</v>
      </c>
      <c r="G798" s="6" t="s">
        <v>29</v>
      </c>
      <c r="H798" s="8" t="str">
        <f>IF(A798="","",Bibliotheques!$B$5&amp;IF(RIGHT(Bibliotheques!$B$5,1)="/","","/")&amp;SUBSTITUTE(A798," ","%20"))</f>
        <v/>
      </c>
      <c r="I798" s="6" t="s">
        <v>29</v>
      </c>
      <c r="J798" s="6" t="s">
        <v>29</v>
      </c>
    </row>
    <row r="799" spans="1:10" ht="33.950000000000003" customHeight="1">
      <c r="A799" s="6" t="s">
        <v>29</v>
      </c>
      <c r="B799" s="6" t="s">
        <v>29</v>
      </c>
      <c r="C799" s="7" t="str">
        <f>IF(A799="","",IFERROR(IF(VLOOKUP(B799,Bibliotheques!$A$10:$B$59,2,FALSE)=0,"Nom manquant",VLOOKUP(B799,Bibliotheques!$A$10:$B$59,2,FALSE)),"Clé inconnue"))</f>
        <v/>
      </c>
      <c r="D799" s="6" t="s">
        <v>29</v>
      </c>
      <c r="E799" s="7" t="str">
        <f t="shared" si="12"/>
        <v/>
      </c>
      <c r="F799" s="6" t="s">
        <v>29</v>
      </c>
      <c r="G799" s="6" t="s">
        <v>29</v>
      </c>
      <c r="H799" s="8" t="str">
        <f>IF(A799="","",Bibliotheques!$B$5&amp;IF(RIGHT(Bibliotheques!$B$5,1)="/","","/")&amp;SUBSTITUTE(A799," ","%20"))</f>
        <v/>
      </c>
      <c r="I799" s="6" t="s">
        <v>29</v>
      </c>
      <c r="J799" s="6" t="s">
        <v>29</v>
      </c>
    </row>
    <row r="800" spans="1:10" ht="33.950000000000003" customHeight="1">
      <c r="A800" s="6" t="s">
        <v>29</v>
      </c>
      <c r="B800" s="6" t="s">
        <v>29</v>
      </c>
      <c r="C800" s="7" t="str">
        <f>IF(A800="","",IFERROR(IF(VLOOKUP(B800,Bibliotheques!$A$10:$B$59,2,FALSE)=0,"Nom manquant",VLOOKUP(B800,Bibliotheques!$A$10:$B$59,2,FALSE)),"Clé inconnue"))</f>
        <v/>
      </c>
      <c r="D800" s="6" t="s">
        <v>29</v>
      </c>
      <c r="E800" s="7" t="str">
        <f t="shared" si="12"/>
        <v/>
      </c>
      <c r="F800" s="6" t="s">
        <v>29</v>
      </c>
      <c r="G800" s="6" t="s">
        <v>29</v>
      </c>
      <c r="H800" s="8" t="str">
        <f>IF(A800="","",Bibliotheques!$B$5&amp;IF(RIGHT(Bibliotheques!$B$5,1)="/","","/")&amp;SUBSTITUTE(A800," ","%20"))</f>
        <v/>
      </c>
      <c r="I800" s="6" t="s">
        <v>29</v>
      </c>
      <c r="J800" s="6" t="s">
        <v>29</v>
      </c>
    </row>
    <row r="801" spans="1:10" ht="33.950000000000003" customHeight="1">
      <c r="A801" s="6" t="s">
        <v>29</v>
      </c>
      <c r="B801" s="6" t="s">
        <v>29</v>
      </c>
      <c r="C801" s="7" t="str">
        <f>IF(A801="","",IFERROR(IF(VLOOKUP(B801,Bibliotheques!$A$10:$B$59,2,FALSE)=0,"Nom manquant",VLOOKUP(B801,Bibliotheques!$A$10:$B$59,2,FALSE)),"Clé inconnue"))</f>
        <v/>
      </c>
      <c r="D801" s="6" t="s">
        <v>29</v>
      </c>
      <c r="E801" s="7" t="str">
        <f t="shared" si="12"/>
        <v/>
      </c>
      <c r="F801" s="6" t="s">
        <v>29</v>
      </c>
      <c r="G801" s="6" t="s">
        <v>29</v>
      </c>
      <c r="H801" s="8" t="str">
        <f>IF(A801="","",Bibliotheques!$B$5&amp;IF(RIGHT(Bibliotheques!$B$5,1)="/","","/")&amp;SUBSTITUTE(A801," ","%20"))</f>
        <v/>
      </c>
      <c r="I801" s="6" t="s">
        <v>29</v>
      </c>
      <c r="J801" s="6" t="s">
        <v>29</v>
      </c>
    </row>
    <row r="802" spans="1:10" ht="33.950000000000003" customHeight="1">
      <c r="A802" s="6" t="s">
        <v>29</v>
      </c>
      <c r="B802" s="6" t="s">
        <v>29</v>
      </c>
      <c r="C802" s="7" t="str">
        <f>IF(A802="","",IFERROR(IF(VLOOKUP(B802,Bibliotheques!$A$10:$B$59,2,FALSE)=0,"Nom manquant",VLOOKUP(B802,Bibliotheques!$A$10:$B$59,2,FALSE)),"Clé inconnue"))</f>
        <v/>
      </c>
      <c r="D802" s="6" t="s">
        <v>29</v>
      </c>
      <c r="E802" s="7" t="str">
        <f t="shared" si="12"/>
        <v/>
      </c>
      <c r="F802" s="6" t="s">
        <v>29</v>
      </c>
      <c r="G802" s="6" t="s">
        <v>29</v>
      </c>
      <c r="H802" s="8" t="str">
        <f>IF(A802="","",Bibliotheques!$B$5&amp;IF(RIGHT(Bibliotheques!$B$5,1)="/","","/")&amp;SUBSTITUTE(A802," ","%20"))</f>
        <v/>
      </c>
      <c r="I802" s="6" t="s">
        <v>29</v>
      </c>
      <c r="J802" s="6" t="s">
        <v>29</v>
      </c>
    </row>
    <row r="803" spans="1:10" ht="33.950000000000003" customHeight="1">
      <c r="A803" s="6" t="s">
        <v>29</v>
      </c>
      <c r="B803" s="6" t="s">
        <v>29</v>
      </c>
      <c r="C803" s="7" t="str">
        <f>IF(A803="","",IFERROR(IF(VLOOKUP(B803,Bibliotheques!$A$10:$B$59,2,FALSE)=0,"Nom manquant",VLOOKUP(B803,Bibliotheques!$A$10:$B$59,2,FALSE)),"Clé inconnue"))</f>
        <v/>
      </c>
      <c r="D803" s="6" t="s">
        <v>29</v>
      </c>
      <c r="E803" s="7" t="str">
        <f t="shared" si="12"/>
        <v/>
      </c>
      <c r="F803" s="6" t="s">
        <v>29</v>
      </c>
      <c r="G803" s="6" t="s">
        <v>29</v>
      </c>
      <c r="H803" s="8" t="str">
        <f>IF(A803="","",Bibliotheques!$B$5&amp;IF(RIGHT(Bibliotheques!$B$5,1)="/","","/")&amp;SUBSTITUTE(A803," ","%20"))</f>
        <v/>
      </c>
      <c r="I803" s="6" t="s">
        <v>29</v>
      </c>
      <c r="J803" s="6" t="s">
        <v>29</v>
      </c>
    </row>
    <row r="804" spans="1:10" ht="33.950000000000003" customHeight="1">
      <c r="A804" s="6" t="s">
        <v>29</v>
      </c>
      <c r="B804" s="6" t="s">
        <v>29</v>
      </c>
      <c r="C804" s="7" t="str">
        <f>IF(A804="","",IFERROR(IF(VLOOKUP(B804,Bibliotheques!$A$10:$B$59,2,FALSE)=0,"Nom manquant",VLOOKUP(B804,Bibliotheques!$A$10:$B$59,2,FALSE)),"Clé inconnue"))</f>
        <v/>
      </c>
      <c r="D804" s="6" t="s">
        <v>29</v>
      </c>
      <c r="E804" s="7" t="str">
        <f t="shared" si="12"/>
        <v/>
      </c>
      <c r="F804" s="6" t="s">
        <v>29</v>
      </c>
      <c r="G804" s="6" t="s">
        <v>29</v>
      </c>
      <c r="H804" s="8" t="str">
        <f>IF(A804="","",Bibliotheques!$B$5&amp;IF(RIGHT(Bibliotheques!$B$5,1)="/","","/")&amp;SUBSTITUTE(A804," ","%20"))</f>
        <v/>
      </c>
      <c r="I804" s="6" t="s">
        <v>29</v>
      </c>
      <c r="J804" s="6" t="s">
        <v>29</v>
      </c>
    </row>
    <row r="805" spans="1:10" ht="33.950000000000003" customHeight="1">
      <c r="A805" s="6" t="s">
        <v>29</v>
      </c>
      <c r="B805" s="6" t="s">
        <v>29</v>
      </c>
      <c r="C805" s="7" t="str">
        <f>IF(A805="","",IFERROR(IF(VLOOKUP(B805,Bibliotheques!$A$10:$B$59,2,FALSE)=0,"Nom manquant",VLOOKUP(B805,Bibliotheques!$A$10:$B$59,2,FALSE)),"Clé inconnue"))</f>
        <v/>
      </c>
      <c r="D805" s="6" t="s">
        <v>29</v>
      </c>
      <c r="E805" s="7" t="str">
        <f t="shared" si="12"/>
        <v/>
      </c>
      <c r="F805" s="6" t="s">
        <v>29</v>
      </c>
      <c r="G805" s="6" t="s">
        <v>29</v>
      </c>
      <c r="H805" s="8" t="str">
        <f>IF(A805="","",Bibliotheques!$B$5&amp;IF(RIGHT(Bibliotheques!$B$5,1)="/","","/")&amp;SUBSTITUTE(A805," ","%20"))</f>
        <v/>
      </c>
      <c r="I805" s="6" t="s">
        <v>29</v>
      </c>
      <c r="J805" s="6" t="s">
        <v>29</v>
      </c>
    </row>
    <row r="806" spans="1:10" ht="33.950000000000003" customHeight="1">
      <c r="A806" s="6" t="s">
        <v>29</v>
      </c>
      <c r="B806" s="6" t="s">
        <v>29</v>
      </c>
      <c r="C806" s="7" t="str">
        <f>IF(A806="","",IFERROR(IF(VLOOKUP(B806,Bibliotheques!$A$10:$B$59,2,FALSE)=0,"Nom manquant",VLOOKUP(B806,Bibliotheques!$A$10:$B$59,2,FALSE)),"Clé inconnue"))</f>
        <v/>
      </c>
      <c r="D806" s="6" t="s">
        <v>29</v>
      </c>
      <c r="E806" s="7" t="str">
        <f t="shared" si="12"/>
        <v/>
      </c>
      <c r="F806" s="6" t="s">
        <v>29</v>
      </c>
      <c r="G806" s="6" t="s">
        <v>29</v>
      </c>
      <c r="H806" s="8" t="str">
        <f>IF(A806="","",Bibliotheques!$B$5&amp;IF(RIGHT(Bibliotheques!$B$5,1)="/","","/")&amp;SUBSTITUTE(A806," ","%20"))</f>
        <v/>
      </c>
      <c r="I806" s="6" t="s">
        <v>29</v>
      </c>
      <c r="J806" s="6" t="s">
        <v>29</v>
      </c>
    </row>
    <row r="807" spans="1:10" ht="33.950000000000003" customHeight="1">
      <c r="A807" s="6" t="s">
        <v>29</v>
      </c>
      <c r="B807" s="6" t="s">
        <v>29</v>
      </c>
      <c r="C807" s="7" t="str">
        <f>IF(A807="","",IFERROR(IF(VLOOKUP(B807,Bibliotheques!$A$10:$B$59,2,FALSE)=0,"Nom manquant",VLOOKUP(B807,Bibliotheques!$A$10:$B$59,2,FALSE)),"Clé inconnue"))</f>
        <v/>
      </c>
      <c r="D807" s="6" t="s">
        <v>29</v>
      </c>
      <c r="E807" s="7" t="str">
        <f t="shared" si="12"/>
        <v/>
      </c>
      <c r="F807" s="6" t="s">
        <v>29</v>
      </c>
      <c r="G807" s="6" t="s">
        <v>29</v>
      </c>
      <c r="H807" s="8" t="str">
        <f>IF(A807="","",Bibliotheques!$B$5&amp;IF(RIGHT(Bibliotheques!$B$5,1)="/","","/")&amp;SUBSTITUTE(A807," ","%20"))</f>
        <v/>
      </c>
      <c r="I807" s="6" t="s">
        <v>29</v>
      </c>
      <c r="J807" s="6" t="s">
        <v>29</v>
      </c>
    </row>
    <row r="808" spans="1:10" ht="33.950000000000003" customHeight="1">
      <c r="A808" s="6" t="s">
        <v>29</v>
      </c>
      <c r="B808" s="6" t="s">
        <v>29</v>
      </c>
      <c r="C808" s="7" t="str">
        <f>IF(A808="","",IFERROR(IF(VLOOKUP(B808,Bibliotheques!$A$10:$B$59,2,FALSE)=0,"Nom manquant",VLOOKUP(B808,Bibliotheques!$A$10:$B$59,2,FALSE)),"Clé inconnue"))</f>
        <v/>
      </c>
      <c r="D808" s="6" t="s">
        <v>29</v>
      </c>
      <c r="E808" s="7" t="str">
        <f t="shared" si="12"/>
        <v/>
      </c>
      <c r="F808" s="6" t="s">
        <v>29</v>
      </c>
      <c r="G808" s="6" t="s">
        <v>29</v>
      </c>
      <c r="H808" s="8" t="str">
        <f>IF(A808="","",Bibliotheques!$B$5&amp;IF(RIGHT(Bibliotheques!$B$5,1)="/","","/")&amp;SUBSTITUTE(A808," ","%20"))</f>
        <v/>
      </c>
      <c r="I808" s="6" t="s">
        <v>29</v>
      </c>
      <c r="J808" s="6" t="s">
        <v>29</v>
      </c>
    </row>
    <row r="809" spans="1:10" ht="33.950000000000003" customHeight="1">
      <c r="A809" s="6" t="s">
        <v>29</v>
      </c>
      <c r="B809" s="6" t="s">
        <v>29</v>
      </c>
      <c r="C809" s="7" t="str">
        <f>IF(A809="","",IFERROR(IF(VLOOKUP(B809,Bibliotheques!$A$10:$B$59,2,FALSE)=0,"Nom manquant",VLOOKUP(B809,Bibliotheques!$A$10:$B$59,2,FALSE)),"Clé inconnue"))</f>
        <v/>
      </c>
      <c r="D809" s="6" t="s">
        <v>29</v>
      </c>
      <c r="E809" s="7" t="str">
        <f t="shared" si="12"/>
        <v/>
      </c>
      <c r="F809" s="6" t="s">
        <v>29</v>
      </c>
      <c r="G809" s="6" t="s">
        <v>29</v>
      </c>
      <c r="H809" s="8" t="str">
        <f>IF(A809="","",Bibliotheques!$B$5&amp;IF(RIGHT(Bibliotheques!$B$5,1)="/","","/")&amp;SUBSTITUTE(A809," ","%20"))</f>
        <v/>
      </c>
      <c r="I809" s="6" t="s">
        <v>29</v>
      </c>
      <c r="J809" s="6" t="s">
        <v>29</v>
      </c>
    </row>
    <row r="810" spans="1:10" ht="33.950000000000003" customHeight="1">
      <c r="A810" s="6" t="s">
        <v>29</v>
      </c>
      <c r="B810" s="6" t="s">
        <v>29</v>
      </c>
      <c r="C810" s="7" t="str">
        <f>IF(A810="","",IFERROR(IF(VLOOKUP(B810,Bibliotheques!$A$10:$B$59,2,FALSE)=0,"Nom manquant",VLOOKUP(B810,Bibliotheques!$A$10:$B$59,2,FALSE)),"Clé inconnue"))</f>
        <v/>
      </c>
      <c r="D810" s="6" t="s">
        <v>29</v>
      </c>
      <c r="E810" s="7" t="str">
        <f t="shared" si="12"/>
        <v/>
      </c>
      <c r="F810" s="6" t="s">
        <v>29</v>
      </c>
      <c r="G810" s="6" t="s">
        <v>29</v>
      </c>
      <c r="H810" s="8" t="str">
        <f>IF(A810="","",Bibliotheques!$B$5&amp;IF(RIGHT(Bibliotheques!$B$5,1)="/","","/")&amp;SUBSTITUTE(A810," ","%20"))</f>
        <v/>
      </c>
      <c r="I810" s="6" t="s">
        <v>29</v>
      </c>
      <c r="J810" s="6" t="s">
        <v>29</v>
      </c>
    </row>
    <row r="811" spans="1:10" ht="33.950000000000003" customHeight="1">
      <c r="A811" s="6" t="s">
        <v>29</v>
      </c>
      <c r="B811" s="6" t="s">
        <v>29</v>
      </c>
      <c r="C811" s="7" t="str">
        <f>IF(A811="","",IFERROR(IF(VLOOKUP(B811,Bibliotheques!$A$10:$B$59,2,FALSE)=0,"Nom manquant",VLOOKUP(B811,Bibliotheques!$A$10:$B$59,2,FALSE)),"Clé inconnue"))</f>
        <v/>
      </c>
      <c r="D811" s="6" t="s">
        <v>29</v>
      </c>
      <c r="E811" s="7" t="str">
        <f t="shared" si="12"/>
        <v/>
      </c>
      <c r="F811" s="6" t="s">
        <v>29</v>
      </c>
      <c r="G811" s="6" t="s">
        <v>29</v>
      </c>
      <c r="H811" s="8" t="str">
        <f>IF(A811="","",Bibliotheques!$B$5&amp;IF(RIGHT(Bibliotheques!$B$5,1)="/","","/")&amp;SUBSTITUTE(A811," ","%20"))</f>
        <v/>
      </c>
      <c r="I811" s="6" t="s">
        <v>29</v>
      </c>
      <c r="J811" s="6" t="s">
        <v>29</v>
      </c>
    </row>
    <row r="812" spans="1:10" ht="33.950000000000003" customHeight="1">
      <c r="A812" s="6" t="s">
        <v>29</v>
      </c>
      <c r="B812" s="6" t="s">
        <v>29</v>
      </c>
      <c r="C812" s="7" t="str">
        <f>IF(A812="","",IFERROR(IF(VLOOKUP(B812,Bibliotheques!$A$10:$B$59,2,FALSE)=0,"Nom manquant",VLOOKUP(B812,Bibliotheques!$A$10:$B$59,2,FALSE)),"Clé inconnue"))</f>
        <v/>
      </c>
      <c r="D812" s="6" t="s">
        <v>29</v>
      </c>
      <c r="E812" s="7" t="str">
        <f t="shared" si="12"/>
        <v/>
      </c>
      <c r="F812" s="6" t="s">
        <v>29</v>
      </c>
      <c r="G812" s="6" t="s">
        <v>29</v>
      </c>
      <c r="H812" s="8" t="str">
        <f>IF(A812="","",Bibliotheques!$B$5&amp;IF(RIGHT(Bibliotheques!$B$5,1)="/","","/")&amp;SUBSTITUTE(A812," ","%20"))</f>
        <v/>
      </c>
      <c r="I812" s="6" t="s">
        <v>29</v>
      </c>
      <c r="J812" s="6" t="s">
        <v>29</v>
      </c>
    </row>
    <row r="813" spans="1:10" ht="33.950000000000003" customHeight="1">
      <c r="A813" s="6" t="s">
        <v>29</v>
      </c>
      <c r="B813" s="6" t="s">
        <v>29</v>
      </c>
      <c r="C813" s="7" t="str">
        <f>IF(A813="","",IFERROR(IF(VLOOKUP(B813,Bibliotheques!$A$10:$B$59,2,FALSE)=0,"Nom manquant",VLOOKUP(B813,Bibliotheques!$A$10:$B$59,2,FALSE)),"Clé inconnue"))</f>
        <v/>
      </c>
      <c r="D813" s="6" t="s">
        <v>29</v>
      </c>
      <c r="E813" s="7" t="str">
        <f t="shared" si="12"/>
        <v/>
      </c>
      <c r="F813" s="6" t="s">
        <v>29</v>
      </c>
      <c r="G813" s="6" t="s">
        <v>29</v>
      </c>
      <c r="H813" s="8" t="str">
        <f>IF(A813="","",Bibliotheques!$B$5&amp;IF(RIGHT(Bibliotheques!$B$5,1)="/","","/")&amp;SUBSTITUTE(A813," ","%20"))</f>
        <v/>
      </c>
      <c r="I813" s="6" t="s">
        <v>29</v>
      </c>
      <c r="J813" s="6" t="s">
        <v>29</v>
      </c>
    </row>
    <row r="814" spans="1:10" ht="33.950000000000003" customHeight="1">
      <c r="A814" s="6" t="s">
        <v>29</v>
      </c>
      <c r="B814" s="6" t="s">
        <v>29</v>
      </c>
      <c r="C814" s="7" t="str">
        <f>IF(A814="","",IFERROR(IF(VLOOKUP(B814,Bibliotheques!$A$10:$B$59,2,FALSE)=0,"Nom manquant",VLOOKUP(B814,Bibliotheques!$A$10:$B$59,2,FALSE)),"Clé inconnue"))</f>
        <v/>
      </c>
      <c r="D814" s="6" t="s">
        <v>29</v>
      </c>
      <c r="E814" s="7" t="str">
        <f t="shared" si="12"/>
        <v/>
      </c>
      <c r="F814" s="6" t="s">
        <v>29</v>
      </c>
      <c r="G814" s="6" t="s">
        <v>29</v>
      </c>
      <c r="H814" s="8" t="str">
        <f>IF(A814="","",Bibliotheques!$B$5&amp;IF(RIGHT(Bibliotheques!$B$5,1)="/","","/")&amp;SUBSTITUTE(A814," ","%20"))</f>
        <v/>
      </c>
      <c r="I814" s="6" t="s">
        <v>29</v>
      </c>
      <c r="J814" s="6" t="s">
        <v>29</v>
      </c>
    </row>
    <row r="815" spans="1:10" ht="33.950000000000003" customHeight="1">
      <c r="A815" s="6" t="s">
        <v>29</v>
      </c>
      <c r="B815" s="6" t="s">
        <v>29</v>
      </c>
      <c r="C815" s="7" t="str">
        <f>IF(A815="","",IFERROR(IF(VLOOKUP(B815,Bibliotheques!$A$10:$B$59,2,FALSE)=0,"Nom manquant",VLOOKUP(B815,Bibliotheques!$A$10:$B$59,2,FALSE)),"Clé inconnue"))</f>
        <v/>
      </c>
      <c r="D815" s="6" t="s">
        <v>29</v>
      </c>
      <c r="E815" s="7" t="str">
        <f t="shared" si="12"/>
        <v/>
      </c>
      <c r="F815" s="6" t="s">
        <v>29</v>
      </c>
      <c r="G815" s="6" t="s">
        <v>29</v>
      </c>
      <c r="H815" s="8" t="str">
        <f>IF(A815="","",Bibliotheques!$B$5&amp;IF(RIGHT(Bibliotheques!$B$5,1)="/","","/")&amp;SUBSTITUTE(A815," ","%20"))</f>
        <v/>
      </c>
      <c r="I815" s="6" t="s">
        <v>29</v>
      </c>
      <c r="J815" s="6" t="s">
        <v>29</v>
      </c>
    </row>
    <row r="816" spans="1:10" ht="33.950000000000003" customHeight="1">
      <c r="A816" s="6" t="s">
        <v>29</v>
      </c>
      <c r="B816" s="6" t="s">
        <v>29</v>
      </c>
      <c r="C816" s="7" t="str">
        <f>IF(A816="","",IFERROR(IF(VLOOKUP(B816,Bibliotheques!$A$10:$B$59,2,FALSE)=0,"Nom manquant",VLOOKUP(B816,Bibliotheques!$A$10:$B$59,2,FALSE)),"Clé inconnue"))</f>
        <v/>
      </c>
      <c r="D816" s="6" t="s">
        <v>29</v>
      </c>
      <c r="E816" s="7" t="str">
        <f t="shared" si="12"/>
        <v/>
      </c>
      <c r="F816" s="6" t="s">
        <v>29</v>
      </c>
      <c r="G816" s="6" t="s">
        <v>29</v>
      </c>
      <c r="H816" s="8" t="str">
        <f>IF(A816="","",Bibliotheques!$B$5&amp;IF(RIGHT(Bibliotheques!$B$5,1)="/","","/")&amp;SUBSTITUTE(A816," ","%20"))</f>
        <v/>
      </c>
      <c r="I816" s="6" t="s">
        <v>29</v>
      </c>
      <c r="J816" s="6" t="s">
        <v>29</v>
      </c>
    </row>
    <row r="817" spans="1:10" ht="33.950000000000003" customHeight="1">
      <c r="A817" s="6" t="s">
        <v>29</v>
      </c>
      <c r="B817" s="6" t="s">
        <v>29</v>
      </c>
      <c r="C817" s="7" t="str">
        <f>IF(A817="","",IFERROR(IF(VLOOKUP(B817,Bibliotheques!$A$10:$B$59,2,FALSE)=0,"Nom manquant",VLOOKUP(B817,Bibliotheques!$A$10:$B$59,2,FALSE)),"Clé inconnue"))</f>
        <v/>
      </c>
      <c r="D817" s="6" t="s">
        <v>29</v>
      </c>
      <c r="E817" s="7" t="str">
        <f t="shared" si="12"/>
        <v/>
      </c>
      <c r="F817" s="6" t="s">
        <v>29</v>
      </c>
      <c r="G817" s="6" t="s">
        <v>29</v>
      </c>
      <c r="H817" s="8" t="str">
        <f>IF(A817="","",Bibliotheques!$B$5&amp;IF(RIGHT(Bibliotheques!$B$5,1)="/","","/")&amp;SUBSTITUTE(A817," ","%20"))</f>
        <v/>
      </c>
      <c r="I817" s="6" t="s">
        <v>29</v>
      </c>
      <c r="J817" s="6" t="s">
        <v>29</v>
      </c>
    </row>
    <row r="818" spans="1:10" ht="33.950000000000003" customHeight="1">
      <c r="A818" s="6" t="s">
        <v>29</v>
      </c>
      <c r="B818" s="6" t="s">
        <v>29</v>
      </c>
      <c r="C818" s="7" t="str">
        <f>IF(A818="","",IFERROR(IF(VLOOKUP(B818,Bibliotheques!$A$10:$B$59,2,FALSE)=0,"Nom manquant",VLOOKUP(B818,Bibliotheques!$A$10:$B$59,2,FALSE)),"Clé inconnue"))</f>
        <v/>
      </c>
      <c r="D818" s="6" t="s">
        <v>29</v>
      </c>
      <c r="E818" s="7" t="str">
        <f t="shared" si="12"/>
        <v/>
      </c>
      <c r="F818" s="6" t="s">
        <v>29</v>
      </c>
      <c r="G818" s="6" t="s">
        <v>29</v>
      </c>
      <c r="H818" s="8" t="str">
        <f>IF(A818="","",Bibliotheques!$B$5&amp;IF(RIGHT(Bibliotheques!$B$5,1)="/","","/")&amp;SUBSTITUTE(A818," ","%20"))</f>
        <v/>
      </c>
      <c r="I818" s="6" t="s">
        <v>29</v>
      </c>
      <c r="J818" s="6" t="s">
        <v>29</v>
      </c>
    </row>
    <row r="819" spans="1:10" ht="33.950000000000003" customHeight="1">
      <c r="A819" s="6" t="s">
        <v>29</v>
      </c>
      <c r="B819" s="6" t="s">
        <v>29</v>
      </c>
      <c r="C819" s="7" t="str">
        <f>IF(A819="","",IFERROR(IF(VLOOKUP(B819,Bibliotheques!$A$10:$B$59,2,FALSE)=0,"Nom manquant",VLOOKUP(B819,Bibliotheques!$A$10:$B$59,2,FALSE)),"Clé inconnue"))</f>
        <v/>
      </c>
      <c r="D819" s="6" t="s">
        <v>29</v>
      </c>
      <c r="E819" s="7" t="str">
        <f t="shared" si="12"/>
        <v/>
      </c>
      <c r="F819" s="6" t="s">
        <v>29</v>
      </c>
      <c r="G819" s="6" t="s">
        <v>29</v>
      </c>
      <c r="H819" s="8" t="str">
        <f>IF(A819="","",Bibliotheques!$B$5&amp;IF(RIGHT(Bibliotheques!$B$5,1)="/","","/")&amp;SUBSTITUTE(A819," ","%20"))</f>
        <v/>
      </c>
      <c r="I819" s="6" t="s">
        <v>29</v>
      </c>
      <c r="J819" s="6" t="s">
        <v>29</v>
      </c>
    </row>
    <row r="820" spans="1:10" ht="33.950000000000003" customHeight="1">
      <c r="A820" s="6" t="s">
        <v>29</v>
      </c>
      <c r="B820" s="6" t="s">
        <v>29</v>
      </c>
      <c r="C820" s="7" t="str">
        <f>IF(A820="","",IFERROR(IF(VLOOKUP(B820,Bibliotheques!$A$10:$B$59,2,FALSE)=0,"Nom manquant",VLOOKUP(B820,Bibliotheques!$A$10:$B$59,2,FALSE)),"Clé inconnue"))</f>
        <v/>
      </c>
      <c r="D820" s="6" t="s">
        <v>29</v>
      </c>
      <c r="E820" s="7" t="str">
        <f t="shared" si="12"/>
        <v/>
      </c>
      <c r="F820" s="6" t="s">
        <v>29</v>
      </c>
      <c r="G820" s="6" t="s">
        <v>29</v>
      </c>
      <c r="H820" s="8" t="str">
        <f>IF(A820="","",Bibliotheques!$B$5&amp;IF(RIGHT(Bibliotheques!$B$5,1)="/","","/")&amp;SUBSTITUTE(A820," ","%20"))</f>
        <v/>
      </c>
      <c r="I820" s="6" t="s">
        <v>29</v>
      </c>
      <c r="J820" s="6" t="s">
        <v>29</v>
      </c>
    </row>
    <row r="821" spans="1:10" ht="33.950000000000003" customHeight="1">
      <c r="A821" s="6" t="s">
        <v>29</v>
      </c>
      <c r="B821" s="6" t="s">
        <v>29</v>
      </c>
      <c r="C821" s="7" t="str">
        <f>IF(A821="","",IFERROR(IF(VLOOKUP(B821,Bibliotheques!$A$10:$B$59,2,FALSE)=0,"Nom manquant",VLOOKUP(B821,Bibliotheques!$A$10:$B$59,2,FALSE)),"Clé inconnue"))</f>
        <v/>
      </c>
      <c r="D821" s="6" t="s">
        <v>29</v>
      </c>
      <c r="E821" s="7" t="str">
        <f t="shared" si="12"/>
        <v/>
      </c>
      <c r="F821" s="6" t="s">
        <v>29</v>
      </c>
      <c r="G821" s="6" t="s">
        <v>29</v>
      </c>
      <c r="H821" s="8" t="str">
        <f>IF(A821="","",Bibliotheques!$B$5&amp;IF(RIGHT(Bibliotheques!$B$5,1)="/","","/")&amp;SUBSTITUTE(A821," ","%20"))</f>
        <v/>
      </c>
      <c r="I821" s="6" t="s">
        <v>29</v>
      </c>
      <c r="J821" s="6" t="s">
        <v>29</v>
      </c>
    </row>
    <row r="822" spans="1:10" ht="33.950000000000003" customHeight="1">
      <c r="A822" s="6" t="s">
        <v>29</v>
      </c>
      <c r="B822" s="6" t="s">
        <v>29</v>
      </c>
      <c r="C822" s="7" t="str">
        <f>IF(A822="","",IFERROR(IF(VLOOKUP(B822,Bibliotheques!$A$10:$B$59,2,FALSE)=0,"Nom manquant",VLOOKUP(B822,Bibliotheques!$A$10:$B$59,2,FALSE)),"Clé inconnue"))</f>
        <v/>
      </c>
      <c r="D822" s="6" t="s">
        <v>29</v>
      </c>
      <c r="E822" s="7" t="str">
        <f t="shared" si="12"/>
        <v/>
      </c>
      <c r="F822" s="6" t="s">
        <v>29</v>
      </c>
      <c r="G822" s="6" t="s">
        <v>29</v>
      </c>
      <c r="H822" s="8" t="str">
        <f>IF(A822="","",Bibliotheques!$B$5&amp;IF(RIGHT(Bibliotheques!$B$5,1)="/","","/")&amp;SUBSTITUTE(A822," ","%20"))</f>
        <v/>
      </c>
      <c r="I822" s="6" t="s">
        <v>29</v>
      </c>
      <c r="J822" s="6" t="s">
        <v>29</v>
      </c>
    </row>
    <row r="823" spans="1:10" ht="33.950000000000003" customHeight="1">
      <c r="A823" s="6" t="s">
        <v>29</v>
      </c>
      <c r="B823" s="6" t="s">
        <v>29</v>
      </c>
      <c r="C823" s="7" t="str">
        <f>IF(A823="","",IFERROR(IF(VLOOKUP(B823,Bibliotheques!$A$10:$B$59,2,FALSE)=0,"Nom manquant",VLOOKUP(B823,Bibliotheques!$A$10:$B$59,2,FALSE)),"Clé inconnue"))</f>
        <v/>
      </c>
      <c r="D823" s="6" t="s">
        <v>29</v>
      </c>
      <c r="E823" s="7" t="str">
        <f t="shared" si="12"/>
        <v/>
      </c>
      <c r="F823" s="6" t="s">
        <v>29</v>
      </c>
      <c r="G823" s="6" t="s">
        <v>29</v>
      </c>
      <c r="H823" s="8" t="str">
        <f>IF(A823="","",Bibliotheques!$B$5&amp;IF(RIGHT(Bibliotheques!$B$5,1)="/","","/")&amp;SUBSTITUTE(A823," ","%20"))</f>
        <v/>
      </c>
      <c r="I823" s="6" t="s">
        <v>29</v>
      </c>
      <c r="J823" s="6" t="s">
        <v>29</v>
      </c>
    </row>
    <row r="824" spans="1:10" ht="33.950000000000003" customHeight="1">
      <c r="A824" s="6" t="s">
        <v>29</v>
      </c>
      <c r="B824" s="6" t="s">
        <v>29</v>
      </c>
      <c r="C824" s="7" t="str">
        <f>IF(A824="","",IFERROR(IF(VLOOKUP(B824,Bibliotheques!$A$10:$B$59,2,FALSE)=0,"Nom manquant",VLOOKUP(B824,Bibliotheques!$A$10:$B$59,2,FALSE)),"Clé inconnue"))</f>
        <v/>
      </c>
      <c r="D824" s="6" t="s">
        <v>29</v>
      </c>
      <c r="E824" s="7" t="str">
        <f t="shared" si="12"/>
        <v/>
      </c>
      <c r="F824" s="6" t="s">
        <v>29</v>
      </c>
      <c r="G824" s="6" t="s">
        <v>29</v>
      </c>
      <c r="H824" s="8" t="str">
        <f>IF(A824="","",Bibliotheques!$B$5&amp;IF(RIGHT(Bibliotheques!$B$5,1)="/","","/")&amp;SUBSTITUTE(A824," ","%20"))</f>
        <v/>
      </c>
      <c r="I824" s="6" t="s">
        <v>29</v>
      </c>
      <c r="J824" s="6" t="s">
        <v>29</v>
      </c>
    </row>
    <row r="825" spans="1:10" ht="33.950000000000003" customHeight="1">
      <c r="A825" s="6" t="s">
        <v>29</v>
      </c>
      <c r="B825" s="6" t="s">
        <v>29</v>
      </c>
      <c r="C825" s="7" t="str">
        <f>IF(A825="","",IFERROR(IF(VLOOKUP(B825,Bibliotheques!$A$10:$B$59,2,FALSE)=0,"Nom manquant",VLOOKUP(B825,Bibliotheques!$A$10:$B$59,2,FALSE)),"Clé inconnue"))</f>
        <v/>
      </c>
      <c r="D825" s="6" t="s">
        <v>29</v>
      </c>
      <c r="E825" s="7" t="str">
        <f t="shared" si="12"/>
        <v/>
      </c>
      <c r="F825" s="6" t="s">
        <v>29</v>
      </c>
      <c r="G825" s="6" t="s">
        <v>29</v>
      </c>
      <c r="H825" s="8" t="str">
        <f>IF(A825="","",Bibliotheques!$B$5&amp;IF(RIGHT(Bibliotheques!$B$5,1)="/","","/")&amp;SUBSTITUTE(A825," ","%20"))</f>
        <v/>
      </c>
      <c r="I825" s="6" t="s">
        <v>29</v>
      </c>
      <c r="J825" s="6" t="s">
        <v>29</v>
      </c>
    </row>
    <row r="826" spans="1:10" ht="33.950000000000003" customHeight="1">
      <c r="A826" s="6" t="s">
        <v>29</v>
      </c>
      <c r="B826" s="6" t="s">
        <v>29</v>
      </c>
      <c r="C826" s="7" t="str">
        <f>IF(A826="","",IFERROR(IF(VLOOKUP(B826,Bibliotheques!$A$10:$B$59,2,FALSE)=0,"Nom manquant",VLOOKUP(B826,Bibliotheques!$A$10:$B$59,2,FALSE)),"Clé inconnue"))</f>
        <v/>
      </c>
      <c r="D826" s="6" t="s">
        <v>29</v>
      </c>
      <c r="E826" s="7" t="str">
        <f t="shared" si="12"/>
        <v/>
      </c>
      <c r="F826" s="6" t="s">
        <v>29</v>
      </c>
      <c r="G826" s="6" t="s">
        <v>29</v>
      </c>
      <c r="H826" s="8" t="str">
        <f>IF(A826="","",Bibliotheques!$B$5&amp;IF(RIGHT(Bibliotheques!$B$5,1)="/","","/")&amp;SUBSTITUTE(A826," ","%20"))</f>
        <v/>
      </c>
      <c r="I826" s="6" t="s">
        <v>29</v>
      </c>
      <c r="J826" s="6" t="s">
        <v>29</v>
      </c>
    </row>
    <row r="827" spans="1:10" ht="33.950000000000003" customHeight="1">
      <c r="A827" s="6" t="s">
        <v>29</v>
      </c>
      <c r="B827" s="6" t="s">
        <v>29</v>
      </c>
      <c r="C827" s="7" t="str">
        <f>IF(A827="","",IFERROR(IF(VLOOKUP(B827,Bibliotheques!$A$10:$B$59,2,FALSE)=0,"Nom manquant",VLOOKUP(B827,Bibliotheques!$A$10:$B$59,2,FALSE)),"Clé inconnue"))</f>
        <v/>
      </c>
      <c r="D827" s="6" t="s">
        <v>29</v>
      </c>
      <c r="E827" s="7" t="str">
        <f t="shared" si="12"/>
        <v/>
      </c>
      <c r="F827" s="6" t="s">
        <v>29</v>
      </c>
      <c r="G827" s="6" t="s">
        <v>29</v>
      </c>
      <c r="H827" s="8" t="str">
        <f>IF(A827="","",Bibliotheques!$B$5&amp;IF(RIGHT(Bibliotheques!$B$5,1)="/","","/")&amp;SUBSTITUTE(A827," ","%20"))</f>
        <v/>
      </c>
      <c r="I827" s="6" t="s">
        <v>29</v>
      </c>
      <c r="J827" s="6" t="s">
        <v>29</v>
      </c>
    </row>
    <row r="828" spans="1:10" ht="33.950000000000003" customHeight="1">
      <c r="A828" s="6" t="s">
        <v>29</v>
      </c>
      <c r="B828" s="6" t="s">
        <v>29</v>
      </c>
      <c r="C828" s="7" t="str">
        <f>IF(A828="","",IFERROR(IF(VLOOKUP(B828,Bibliotheques!$A$10:$B$59,2,FALSE)=0,"Nom manquant",VLOOKUP(B828,Bibliotheques!$A$10:$B$59,2,FALSE)),"Clé inconnue"))</f>
        <v/>
      </c>
      <c r="D828" s="6" t="s">
        <v>29</v>
      </c>
      <c r="E828" s="7" t="str">
        <f t="shared" si="12"/>
        <v/>
      </c>
      <c r="F828" s="6" t="s">
        <v>29</v>
      </c>
      <c r="G828" s="6" t="s">
        <v>29</v>
      </c>
      <c r="H828" s="8" t="str">
        <f>IF(A828="","",Bibliotheques!$B$5&amp;IF(RIGHT(Bibliotheques!$B$5,1)="/","","/")&amp;SUBSTITUTE(A828," ","%20"))</f>
        <v/>
      </c>
      <c r="I828" s="6" t="s">
        <v>29</v>
      </c>
      <c r="J828" s="6" t="s">
        <v>29</v>
      </c>
    </row>
    <row r="829" spans="1:10" ht="33.950000000000003" customHeight="1">
      <c r="A829" s="6" t="s">
        <v>29</v>
      </c>
      <c r="B829" s="6" t="s">
        <v>29</v>
      </c>
      <c r="C829" s="7" t="str">
        <f>IF(A829="","",IFERROR(IF(VLOOKUP(B829,Bibliotheques!$A$10:$B$59,2,FALSE)=0,"Nom manquant",VLOOKUP(B829,Bibliotheques!$A$10:$B$59,2,FALSE)),"Clé inconnue"))</f>
        <v/>
      </c>
      <c r="D829" s="6" t="s">
        <v>29</v>
      </c>
      <c r="E829" s="7" t="str">
        <f t="shared" si="12"/>
        <v/>
      </c>
      <c r="F829" s="6" t="s">
        <v>29</v>
      </c>
      <c r="G829" s="6" t="s">
        <v>29</v>
      </c>
      <c r="H829" s="8" t="str">
        <f>IF(A829="","",Bibliotheques!$B$5&amp;IF(RIGHT(Bibliotheques!$B$5,1)="/","","/")&amp;SUBSTITUTE(A829," ","%20"))</f>
        <v/>
      </c>
      <c r="I829" s="6" t="s">
        <v>29</v>
      </c>
      <c r="J829" s="6" t="s">
        <v>29</v>
      </c>
    </row>
    <row r="830" spans="1:10" ht="33.950000000000003" customHeight="1">
      <c r="A830" s="6" t="s">
        <v>29</v>
      </c>
      <c r="B830" s="6" t="s">
        <v>29</v>
      </c>
      <c r="C830" s="7" t="str">
        <f>IF(A830="","",IFERROR(IF(VLOOKUP(B830,Bibliotheques!$A$10:$B$59,2,FALSE)=0,"Nom manquant",VLOOKUP(B830,Bibliotheques!$A$10:$B$59,2,FALSE)),"Clé inconnue"))</f>
        <v/>
      </c>
      <c r="D830" s="6" t="s">
        <v>29</v>
      </c>
      <c r="E830" s="7" t="str">
        <f t="shared" si="12"/>
        <v/>
      </c>
      <c r="F830" s="6" t="s">
        <v>29</v>
      </c>
      <c r="G830" s="6" t="s">
        <v>29</v>
      </c>
      <c r="H830" s="8" t="str">
        <f>IF(A830="","",Bibliotheques!$B$5&amp;IF(RIGHT(Bibliotheques!$B$5,1)="/","","/")&amp;SUBSTITUTE(A830," ","%20"))</f>
        <v/>
      </c>
      <c r="I830" s="6" t="s">
        <v>29</v>
      </c>
      <c r="J830" s="6" t="s">
        <v>29</v>
      </c>
    </row>
    <row r="831" spans="1:10" ht="33.950000000000003" customHeight="1">
      <c r="A831" s="6" t="s">
        <v>29</v>
      </c>
      <c r="B831" s="6" t="s">
        <v>29</v>
      </c>
      <c r="C831" s="7" t="str">
        <f>IF(A831="","",IFERROR(IF(VLOOKUP(B831,Bibliotheques!$A$10:$B$59,2,FALSE)=0,"Nom manquant",VLOOKUP(B831,Bibliotheques!$A$10:$B$59,2,FALSE)),"Clé inconnue"))</f>
        <v/>
      </c>
      <c r="D831" s="6" t="s">
        <v>29</v>
      </c>
      <c r="E831" s="7" t="str">
        <f t="shared" si="12"/>
        <v/>
      </c>
      <c r="F831" s="6" t="s">
        <v>29</v>
      </c>
      <c r="G831" s="6" t="s">
        <v>29</v>
      </c>
      <c r="H831" s="8" t="str">
        <f>IF(A831="","",Bibliotheques!$B$5&amp;IF(RIGHT(Bibliotheques!$B$5,1)="/","","/")&amp;SUBSTITUTE(A831," ","%20"))</f>
        <v/>
      </c>
      <c r="I831" s="6" t="s">
        <v>29</v>
      </c>
      <c r="J831" s="6" t="s">
        <v>29</v>
      </c>
    </row>
    <row r="832" spans="1:10" ht="33.950000000000003" customHeight="1">
      <c r="A832" s="6" t="s">
        <v>29</v>
      </c>
      <c r="B832" s="6" t="s">
        <v>29</v>
      </c>
      <c r="C832" s="7" t="str">
        <f>IF(A832="","",IFERROR(IF(VLOOKUP(B832,Bibliotheques!$A$10:$B$59,2,FALSE)=0,"Nom manquant",VLOOKUP(B832,Bibliotheques!$A$10:$B$59,2,FALSE)),"Clé inconnue"))</f>
        <v/>
      </c>
      <c r="D832" s="6" t="s">
        <v>29</v>
      </c>
      <c r="E832" s="7" t="str">
        <f t="shared" si="12"/>
        <v/>
      </c>
      <c r="F832" s="6" t="s">
        <v>29</v>
      </c>
      <c r="G832" s="6" t="s">
        <v>29</v>
      </c>
      <c r="H832" s="8" t="str">
        <f>IF(A832="","",Bibliotheques!$B$5&amp;IF(RIGHT(Bibliotheques!$B$5,1)="/","","/")&amp;SUBSTITUTE(A832," ","%20"))</f>
        <v/>
      </c>
      <c r="I832" s="6" t="s">
        <v>29</v>
      </c>
      <c r="J832" s="6" t="s">
        <v>29</v>
      </c>
    </row>
    <row r="833" spans="1:10" ht="33.950000000000003" customHeight="1">
      <c r="A833" s="6" t="s">
        <v>29</v>
      </c>
      <c r="B833" s="6" t="s">
        <v>29</v>
      </c>
      <c r="C833" s="7" t="str">
        <f>IF(A833="","",IFERROR(IF(VLOOKUP(B833,Bibliotheques!$A$10:$B$59,2,FALSE)=0,"Nom manquant",VLOOKUP(B833,Bibliotheques!$A$10:$B$59,2,FALSE)),"Clé inconnue"))</f>
        <v/>
      </c>
      <c r="D833" s="6" t="s">
        <v>29</v>
      </c>
      <c r="E833" s="7" t="str">
        <f t="shared" si="12"/>
        <v/>
      </c>
      <c r="F833" s="6" t="s">
        <v>29</v>
      </c>
      <c r="G833" s="6" t="s">
        <v>29</v>
      </c>
      <c r="H833" s="8" t="str">
        <f>IF(A833="","",Bibliotheques!$B$5&amp;IF(RIGHT(Bibliotheques!$B$5,1)="/","","/")&amp;SUBSTITUTE(A833," ","%20"))</f>
        <v/>
      </c>
      <c r="I833" s="6" t="s">
        <v>29</v>
      </c>
      <c r="J833" s="6" t="s">
        <v>29</v>
      </c>
    </row>
    <row r="834" spans="1:10" ht="33.950000000000003" customHeight="1">
      <c r="A834" s="6" t="s">
        <v>29</v>
      </c>
      <c r="B834" s="6" t="s">
        <v>29</v>
      </c>
      <c r="C834" s="7" t="str">
        <f>IF(A834="","",IFERROR(IF(VLOOKUP(B834,Bibliotheques!$A$10:$B$59,2,FALSE)=0,"Nom manquant",VLOOKUP(B834,Bibliotheques!$A$10:$B$59,2,FALSE)),"Clé inconnue"))</f>
        <v/>
      </c>
      <c r="D834" s="6" t="s">
        <v>29</v>
      </c>
      <c r="E834" s="7" t="str">
        <f t="shared" si="12"/>
        <v/>
      </c>
      <c r="F834" s="6" t="s">
        <v>29</v>
      </c>
      <c r="G834" s="6" t="s">
        <v>29</v>
      </c>
      <c r="H834" s="8" t="str">
        <f>IF(A834="","",Bibliotheques!$B$5&amp;IF(RIGHT(Bibliotheques!$B$5,1)="/","","/")&amp;SUBSTITUTE(A834," ","%20"))</f>
        <v/>
      </c>
      <c r="I834" s="6" t="s">
        <v>29</v>
      </c>
      <c r="J834" s="6" t="s">
        <v>29</v>
      </c>
    </row>
    <row r="835" spans="1:10" ht="33.950000000000003" customHeight="1">
      <c r="A835" s="6" t="s">
        <v>29</v>
      </c>
      <c r="B835" s="6" t="s">
        <v>29</v>
      </c>
      <c r="C835" s="7" t="str">
        <f>IF(A835="","",IFERROR(IF(VLOOKUP(B835,Bibliotheques!$A$10:$B$59,2,FALSE)=0,"Nom manquant",VLOOKUP(B835,Bibliotheques!$A$10:$B$59,2,FALSE)),"Clé inconnue"))</f>
        <v/>
      </c>
      <c r="D835" s="6" t="s">
        <v>29</v>
      </c>
      <c r="E835" s="7" t="str">
        <f t="shared" si="12"/>
        <v/>
      </c>
      <c r="F835" s="6" t="s">
        <v>29</v>
      </c>
      <c r="G835" s="6" t="s">
        <v>29</v>
      </c>
      <c r="H835" s="8" t="str">
        <f>IF(A835="","",Bibliotheques!$B$5&amp;IF(RIGHT(Bibliotheques!$B$5,1)="/","","/")&amp;SUBSTITUTE(A835," ","%20"))</f>
        <v/>
      </c>
      <c r="I835" s="6" t="s">
        <v>29</v>
      </c>
      <c r="J835" s="6" t="s">
        <v>29</v>
      </c>
    </row>
    <row r="836" spans="1:10" ht="33.950000000000003" customHeight="1">
      <c r="A836" s="6" t="s">
        <v>29</v>
      </c>
      <c r="B836" s="6" t="s">
        <v>29</v>
      </c>
      <c r="C836" s="7" t="str">
        <f>IF(A836="","",IFERROR(IF(VLOOKUP(B836,Bibliotheques!$A$10:$B$59,2,FALSE)=0,"Nom manquant",VLOOKUP(B836,Bibliotheques!$A$10:$B$59,2,FALSE)),"Clé inconnue"))</f>
        <v/>
      </c>
      <c r="D836" s="6" t="s">
        <v>29</v>
      </c>
      <c r="E836" s="7" t="str">
        <f t="shared" si="12"/>
        <v/>
      </c>
      <c r="F836" s="6" t="s">
        <v>29</v>
      </c>
      <c r="G836" s="6" t="s">
        <v>29</v>
      </c>
      <c r="H836" s="8" t="str">
        <f>IF(A836="","",Bibliotheques!$B$5&amp;IF(RIGHT(Bibliotheques!$B$5,1)="/","","/")&amp;SUBSTITUTE(A836," ","%20"))</f>
        <v/>
      </c>
      <c r="I836" s="6" t="s">
        <v>29</v>
      </c>
      <c r="J836" s="6" t="s">
        <v>29</v>
      </c>
    </row>
    <row r="837" spans="1:10" ht="33.950000000000003" customHeight="1">
      <c r="A837" s="6" t="s">
        <v>29</v>
      </c>
      <c r="B837" s="6" t="s">
        <v>29</v>
      </c>
      <c r="C837" s="7" t="str">
        <f>IF(A837="","",IFERROR(IF(VLOOKUP(B837,Bibliotheques!$A$10:$B$59,2,FALSE)=0,"Nom manquant",VLOOKUP(B837,Bibliotheques!$A$10:$B$59,2,FALSE)),"Clé inconnue"))</f>
        <v/>
      </c>
      <c r="D837" s="6" t="s">
        <v>29</v>
      </c>
      <c r="E837" s="7" t="str">
        <f t="shared" si="12"/>
        <v/>
      </c>
      <c r="F837" s="6" t="s">
        <v>29</v>
      </c>
      <c r="G837" s="6" t="s">
        <v>29</v>
      </c>
      <c r="H837" s="8" t="str">
        <f>IF(A837="","",Bibliotheques!$B$5&amp;IF(RIGHT(Bibliotheques!$B$5,1)="/","","/")&amp;SUBSTITUTE(A837," ","%20"))</f>
        <v/>
      </c>
      <c r="I837" s="6" t="s">
        <v>29</v>
      </c>
      <c r="J837" s="6" t="s">
        <v>29</v>
      </c>
    </row>
    <row r="838" spans="1:10" ht="33.950000000000003" customHeight="1">
      <c r="A838" s="6" t="s">
        <v>29</v>
      </c>
      <c r="B838" s="6" t="s">
        <v>29</v>
      </c>
      <c r="C838" s="7" t="str">
        <f>IF(A838="","",IFERROR(IF(VLOOKUP(B838,Bibliotheques!$A$10:$B$59,2,FALSE)=0,"Nom manquant",VLOOKUP(B838,Bibliotheques!$A$10:$B$59,2,FALSE)),"Clé inconnue"))</f>
        <v/>
      </c>
      <c r="D838" s="6" t="s">
        <v>29</v>
      </c>
      <c r="E838" s="7" t="str">
        <f t="shared" ref="E838:E901" si="13">IF(A838="","",LOWER(B838&amp;"-"&amp;SUBSTITUTE(SUBSTITUTE(SUBSTITUTE(LOWER(A838),".svg","")," ","-"),"/","-")))</f>
        <v/>
      </c>
      <c r="F838" s="6" t="s">
        <v>29</v>
      </c>
      <c r="G838" s="6" t="s">
        <v>29</v>
      </c>
      <c r="H838" s="8" t="str">
        <f>IF(A838="","",Bibliotheques!$B$5&amp;IF(RIGHT(Bibliotheques!$B$5,1)="/","","/")&amp;SUBSTITUTE(A838," ","%20"))</f>
        <v/>
      </c>
      <c r="I838" s="6" t="s">
        <v>29</v>
      </c>
      <c r="J838" s="6" t="s">
        <v>29</v>
      </c>
    </row>
    <row r="839" spans="1:10" ht="33.950000000000003" customHeight="1">
      <c r="A839" s="6" t="s">
        <v>29</v>
      </c>
      <c r="B839" s="6" t="s">
        <v>29</v>
      </c>
      <c r="C839" s="7" t="str">
        <f>IF(A839="","",IFERROR(IF(VLOOKUP(B839,Bibliotheques!$A$10:$B$59,2,FALSE)=0,"Nom manquant",VLOOKUP(B839,Bibliotheques!$A$10:$B$59,2,FALSE)),"Clé inconnue"))</f>
        <v/>
      </c>
      <c r="D839" s="6" t="s">
        <v>29</v>
      </c>
      <c r="E839" s="7" t="str">
        <f t="shared" si="13"/>
        <v/>
      </c>
      <c r="F839" s="6" t="s">
        <v>29</v>
      </c>
      <c r="G839" s="6" t="s">
        <v>29</v>
      </c>
      <c r="H839" s="8" t="str">
        <f>IF(A839="","",Bibliotheques!$B$5&amp;IF(RIGHT(Bibliotheques!$B$5,1)="/","","/")&amp;SUBSTITUTE(A839," ","%20"))</f>
        <v/>
      </c>
      <c r="I839" s="6" t="s">
        <v>29</v>
      </c>
      <c r="J839" s="6" t="s">
        <v>29</v>
      </c>
    </row>
    <row r="840" spans="1:10" ht="33.950000000000003" customHeight="1">
      <c r="A840" s="6" t="s">
        <v>29</v>
      </c>
      <c r="B840" s="6" t="s">
        <v>29</v>
      </c>
      <c r="C840" s="7" t="str">
        <f>IF(A840="","",IFERROR(IF(VLOOKUP(B840,Bibliotheques!$A$10:$B$59,2,FALSE)=0,"Nom manquant",VLOOKUP(B840,Bibliotheques!$A$10:$B$59,2,FALSE)),"Clé inconnue"))</f>
        <v/>
      </c>
      <c r="D840" s="6" t="s">
        <v>29</v>
      </c>
      <c r="E840" s="7" t="str">
        <f t="shared" si="13"/>
        <v/>
      </c>
      <c r="F840" s="6" t="s">
        <v>29</v>
      </c>
      <c r="G840" s="6" t="s">
        <v>29</v>
      </c>
      <c r="H840" s="8" t="str">
        <f>IF(A840="","",Bibliotheques!$B$5&amp;IF(RIGHT(Bibliotheques!$B$5,1)="/","","/")&amp;SUBSTITUTE(A840," ","%20"))</f>
        <v/>
      </c>
      <c r="I840" s="6" t="s">
        <v>29</v>
      </c>
      <c r="J840" s="6" t="s">
        <v>29</v>
      </c>
    </row>
    <row r="841" spans="1:10" ht="33.950000000000003" customHeight="1">
      <c r="A841" s="6" t="s">
        <v>29</v>
      </c>
      <c r="B841" s="6" t="s">
        <v>29</v>
      </c>
      <c r="C841" s="7" t="str">
        <f>IF(A841="","",IFERROR(IF(VLOOKUP(B841,Bibliotheques!$A$10:$B$59,2,FALSE)=0,"Nom manquant",VLOOKUP(B841,Bibliotheques!$A$10:$B$59,2,FALSE)),"Clé inconnue"))</f>
        <v/>
      </c>
      <c r="D841" s="6" t="s">
        <v>29</v>
      </c>
      <c r="E841" s="7" t="str">
        <f t="shared" si="13"/>
        <v/>
      </c>
      <c r="F841" s="6" t="s">
        <v>29</v>
      </c>
      <c r="G841" s="6" t="s">
        <v>29</v>
      </c>
      <c r="H841" s="8" t="str">
        <f>IF(A841="","",Bibliotheques!$B$5&amp;IF(RIGHT(Bibliotheques!$B$5,1)="/","","/")&amp;SUBSTITUTE(A841," ","%20"))</f>
        <v/>
      </c>
      <c r="I841" s="6" t="s">
        <v>29</v>
      </c>
      <c r="J841" s="6" t="s">
        <v>29</v>
      </c>
    </row>
    <row r="842" spans="1:10" ht="33.950000000000003" customHeight="1">
      <c r="A842" s="6" t="s">
        <v>29</v>
      </c>
      <c r="B842" s="6" t="s">
        <v>29</v>
      </c>
      <c r="C842" s="7" t="str">
        <f>IF(A842="","",IFERROR(IF(VLOOKUP(B842,Bibliotheques!$A$10:$B$59,2,FALSE)=0,"Nom manquant",VLOOKUP(B842,Bibliotheques!$A$10:$B$59,2,FALSE)),"Clé inconnue"))</f>
        <v/>
      </c>
      <c r="D842" s="6" t="s">
        <v>29</v>
      </c>
      <c r="E842" s="7" t="str">
        <f t="shared" si="13"/>
        <v/>
      </c>
      <c r="F842" s="6" t="s">
        <v>29</v>
      </c>
      <c r="G842" s="6" t="s">
        <v>29</v>
      </c>
      <c r="H842" s="8" t="str">
        <f>IF(A842="","",Bibliotheques!$B$5&amp;IF(RIGHT(Bibliotheques!$B$5,1)="/","","/")&amp;SUBSTITUTE(A842," ","%20"))</f>
        <v/>
      </c>
      <c r="I842" s="6" t="s">
        <v>29</v>
      </c>
      <c r="J842" s="6" t="s">
        <v>29</v>
      </c>
    </row>
    <row r="843" spans="1:10" ht="33.950000000000003" customHeight="1">
      <c r="A843" s="6" t="s">
        <v>29</v>
      </c>
      <c r="B843" s="6" t="s">
        <v>29</v>
      </c>
      <c r="C843" s="7" t="str">
        <f>IF(A843="","",IFERROR(IF(VLOOKUP(B843,Bibliotheques!$A$10:$B$59,2,FALSE)=0,"Nom manquant",VLOOKUP(B843,Bibliotheques!$A$10:$B$59,2,FALSE)),"Clé inconnue"))</f>
        <v/>
      </c>
      <c r="D843" s="6" t="s">
        <v>29</v>
      </c>
      <c r="E843" s="7" t="str">
        <f t="shared" si="13"/>
        <v/>
      </c>
      <c r="F843" s="6" t="s">
        <v>29</v>
      </c>
      <c r="G843" s="6" t="s">
        <v>29</v>
      </c>
      <c r="H843" s="8" t="str">
        <f>IF(A843="","",Bibliotheques!$B$5&amp;IF(RIGHT(Bibliotheques!$B$5,1)="/","","/")&amp;SUBSTITUTE(A843," ","%20"))</f>
        <v/>
      </c>
      <c r="I843" s="6" t="s">
        <v>29</v>
      </c>
      <c r="J843" s="6" t="s">
        <v>29</v>
      </c>
    </row>
    <row r="844" spans="1:10" ht="33.950000000000003" customHeight="1">
      <c r="A844" s="6" t="s">
        <v>29</v>
      </c>
      <c r="B844" s="6" t="s">
        <v>29</v>
      </c>
      <c r="C844" s="7" t="str">
        <f>IF(A844="","",IFERROR(IF(VLOOKUP(B844,Bibliotheques!$A$10:$B$59,2,FALSE)=0,"Nom manquant",VLOOKUP(B844,Bibliotheques!$A$10:$B$59,2,FALSE)),"Clé inconnue"))</f>
        <v/>
      </c>
      <c r="D844" s="6" t="s">
        <v>29</v>
      </c>
      <c r="E844" s="7" t="str">
        <f t="shared" si="13"/>
        <v/>
      </c>
      <c r="F844" s="6" t="s">
        <v>29</v>
      </c>
      <c r="G844" s="6" t="s">
        <v>29</v>
      </c>
      <c r="H844" s="8" t="str">
        <f>IF(A844="","",Bibliotheques!$B$5&amp;IF(RIGHT(Bibliotheques!$B$5,1)="/","","/")&amp;SUBSTITUTE(A844," ","%20"))</f>
        <v/>
      </c>
      <c r="I844" s="6" t="s">
        <v>29</v>
      </c>
      <c r="J844" s="6" t="s">
        <v>29</v>
      </c>
    </row>
    <row r="845" spans="1:10" ht="33.950000000000003" customHeight="1">
      <c r="A845" s="6" t="s">
        <v>29</v>
      </c>
      <c r="B845" s="6" t="s">
        <v>29</v>
      </c>
      <c r="C845" s="7" t="str">
        <f>IF(A845="","",IFERROR(IF(VLOOKUP(B845,Bibliotheques!$A$10:$B$59,2,FALSE)=0,"Nom manquant",VLOOKUP(B845,Bibliotheques!$A$10:$B$59,2,FALSE)),"Clé inconnue"))</f>
        <v/>
      </c>
      <c r="D845" s="6" t="s">
        <v>29</v>
      </c>
      <c r="E845" s="7" t="str">
        <f t="shared" si="13"/>
        <v/>
      </c>
      <c r="F845" s="6" t="s">
        <v>29</v>
      </c>
      <c r="G845" s="6" t="s">
        <v>29</v>
      </c>
      <c r="H845" s="8" t="str">
        <f>IF(A845="","",Bibliotheques!$B$5&amp;IF(RIGHT(Bibliotheques!$B$5,1)="/","","/")&amp;SUBSTITUTE(A845," ","%20"))</f>
        <v/>
      </c>
      <c r="I845" s="6" t="s">
        <v>29</v>
      </c>
      <c r="J845" s="6" t="s">
        <v>29</v>
      </c>
    </row>
    <row r="846" spans="1:10" ht="33.950000000000003" customHeight="1">
      <c r="A846" s="6" t="s">
        <v>29</v>
      </c>
      <c r="B846" s="6" t="s">
        <v>29</v>
      </c>
      <c r="C846" s="7" t="str">
        <f>IF(A846="","",IFERROR(IF(VLOOKUP(B846,Bibliotheques!$A$10:$B$59,2,FALSE)=0,"Nom manquant",VLOOKUP(B846,Bibliotheques!$A$10:$B$59,2,FALSE)),"Clé inconnue"))</f>
        <v/>
      </c>
      <c r="D846" s="6" t="s">
        <v>29</v>
      </c>
      <c r="E846" s="7" t="str">
        <f t="shared" si="13"/>
        <v/>
      </c>
      <c r="F846" s="6" t="s">
        <v>29</v>
      </c>
      <c r="G846" s="6" t="s">
        <v>29</v>
      </c>
      <c r="H846" s="8" t="str">
        <f>IF(A846="","",Bibliotheques!$B$5&amp;IF(RIGHT(Bibliotheques!$B$5,1)="/","","/")&amp;SUBSTITUTE(A846," ","%20"))</f>
        <v/>
      </c>
      <c r="I846" s="6" t="s">
        <v>29</v>
      </c>
      <c r="J846" s="6" t="s">
        <v>29</v>
      </c>
    </row>
    <row r="847" spans="1:10" ht="33.950000000000003" customHeight="1">
      <c r="A847" s="6" t="s">
        <v>29</v>
      </c>
      <c r="B847" s="6" t="s">
        <v>29</v>
      </c>
      <c r="C847" s="7" t="str">
        <f>IF(A847="","",IFERROR(IF(VLOOKUP(B847,Bibliotheques!$A$10:$B$59,2,FALSE)=0,"Nom manquant",VLOOKUP(B847,Bibliotheques!$A$10:$B$59,2,FALSE)),"Clé inconnue"))</f>
        <v/>
      </c>
      <c r="D847" s="6" t="s">
        <v>29</v>
      </c>
      <c r="E847" s="7" t="str">
        <f t="shared" si="13"/>
        <v/>
      </c>
      <c r="F847" s="6" t="s">
        <v>29</v>
      </c>
      <c r="G847" s="6" t="s">
        <v>29</v>
      </c>
      <c r="H847" s="8" t="str">
        <f>IF(A847="","",Bibliotheques!$B$5&amp;IF(RIGHT(Bibliotheques!$B$5,1)="/","","/")&amp;SUBSTITUTE(A847," ","%20"))</f>
        <v/>
      </c>
      <c r="I847" s="6" t="s">
        <v>29</v>
      </c>
      <c r="J847" s="6" t="s">
        <v>29</v>
      </c>
    </row>
    <row r="848" spans="1:10" ht="33.950000000000003" customHeight="1">
      <c r="A848" s="6" t="s">
        <v>29</v>
      </c>
      <c r="B848" s="6" t="s">
        <v>29</v>
      </c>
      <c r="C848" s="7" t="str">
        <f>IF(A848="","",IFERROR(IF(VLOOKUP(B848,Bibliotheques!$A$10:$B$59,2,FALSE)=0,"Nom manquant",VLOOKUP(B848,Bibliotheques!$A$10:$B$59,2,FALSE)),"Clé inconnue"))</f>
        <v/>
      </c>
      <c r="D848" s="6" t="s">
        <v>29</v>
      </c>
      <c r="E848" s="7" t="str">
        <f t="shared" si="13"/>
        <v/>
      </c>
      <c r="F848" s="6" t="s">
        <v>29</v>
      </c>
      <c r="G848" s="6" t="s">
        <v>29</v>
      </c>
      <c r="H848" s="8" t="str">
        <f>IF(A848="","",Bibliotheques!$B$5&amp;IF(RIGHT(Bibliotheques!$B$5,1)="/","","/")&amp;SUBSTITUTE(A848," ","%20"))</f>
        <v/>
      </c>
      <c r="I848" s="6" t="s">
        <v>29</v>
      </c>
      <c r="J848" s="6" t="s">
        <v>29</v>
      </c>
    </row>
    <row r="849" spans="1:10" ht="33.950000000000003" customHeight="1">
      <c r="A849" s="6" t="s">
        <v>29</v>
      </c>
      <c r="B849" s="6" t="s">
        <v>29</v>
      </c>
      <c r="C849" s="7" t="str">
        <f>IF(A849="","",IFERROR(IF(VLOOKUP(B849,Bibliotheques!$A$10:$B$59,2,FALSE)=0,"Nom manquant",VLOOKUP(B849,Bibliotheques!$A$10:$B$59,2,FALSE)),"Clé inconnue"))</f>
        <v/>
      </c>
      <c r="D849" s="6" t="s">
        <v>29</v>
      </c>
      <c r="E849" s="7" t="str">
        <f t="shared" si="13"/>
        <v/>
      </c>
      <c r="F849" s="6" t="s">
        <v>29</v>
      </c>
      <c r="G849" s="6" t="s">
        <v>29</v>
      </c>
      <c r="H849" s="8" t="str">
        <f>IF(A849="","",Bibliotheques!$B$5&amp;IF(RIGHT(Bibliotheques!$B$5,1)="/","","/")&amp;SUBSTITUTE(A849," ","%20"))</f>
        <v/>
      </c>
      <c r="I849" s="6" t="s">
        <v>29</v>
      </c>
      <c r="J849" s="6" t="s">
        <v>29</v>
      </c>
    </row>
    <row r="850" spans="1:10" ht="33.950000000000003" customHeight="1">
      <c r="A850" s="6" t="s">
        <v>29</v>
      </c>
      <c r="B850" s="6" t="s">
        <v>29</v>
      </c>
      <c r="C850" s="7" t="str">
        <f>IF(A850="","",IFERROR(IF(VLOOKUP(B850,Bibliotheques!$A$10:$B$59,2,FALSE)=0,"Nom manquant",VLOOKUP(B850,Bibliotheques!$A$10:$B$59,2,FALSE)),"Clé inconnue"))</f>
        <v/>
      </c>
      <c r="D850" s="6" t="s">
        <v>29</v>
      </c>
      <c r="E850" s="7" t="str">
        <f t="shared" si="13"/>
        <v/>
      </c>
      <c r="F850" s="6" t="s">
        <v>29</v>
      </c>
      <c r="G850" s="6" t="s">
        <v>29</v>
      </c>
      <c r="H850" s="8" t="str">
        <f>IF(A850="","",Bibliotheques!$B$5&amp;IF(RIGHT(Bibliotheques!$B$5,1)="/","","/")&amp;SUBSTITUTE(A850," ","%20"))</f>
        <v/>
      </c>
      <c r="I850" s="6" t="s">
        <v>29</v>
      </c>
      <c r="J850" s="6" t="s">
        <v>29</v>
      </c>
    </row>
    <row r="851" spans="1:10" ht="33.950000000000003" customHeight="1">
      <c r="A851" s="6" t="s">
        <v>29</v>
      </c>
      <c r="B851" s="6" t="s">
        <v>29</v>
      </c>
      <c r="C851" s="7" t="str">
        <f>IF(A851="","",IFERROR(IF(VLOOKUP(B851,Bibliotheques!$A$10:$B$59,2,FALSE)=0,"Nom manquant",VLOOKUP(B851,Bibliotheques!$A$10:$B$59,2,FALSE)),"Clé inconnue"))</f>
        <v/>
      </c>
      <c r="D851" s="6" t="s">
        <v>29</v>
      </c>
      <c r="E851" s="7" t="str">
        <f t="shared" si="13"/>
        <v/>
      </c>
      <c r="F851" s="6" t="s">
        <v>29</v>
      </c>
      <c r="G851" s="6" t="s">
        <v>29</v>
      </c>
      <c r="H851" s="8" t="str">
        <f>IF(A851="","",Bibliotheques!$B$5&amp;IF(RIGHT(Bibliotheques!$B$5,1)="/","","/")&amp;SUBSTITUTE(A851," ","%20"))</f>
        <v/>
      </c>
      <c r="I851" s="6" t="s">
        <v>29</v>
      </c>
      <c r="J851" s="6" t="s">
        <v>29</v>
      </c>
    </row>
    <row r="852" spans="1:10" ht="33.950000000000003" customHeight="1">
      <c r="A852" s="6" t="s">
        <v>29</v>
      </c>
      <c r="B852" s="6" t="s">
        <v>29</v>
      </c>
      <c r="C852" s="7" t="str">
        <f>IF(A852="","",IFERROR(IF(VLOOKUP(B852,Bibliotheques!$A$10:$B$59,2,FALSE)=0,"Nom manquant",VLOOKUP(B852,Bibliotheques!$A$10:$B$59,2,FALSE)),"Clé inconnue"))</f>
        <v/>
      </c>
      <c r="D852" s="6" t="s">
        <v>29</v>
      </c>
      <c r="E852" s="7" t="str">
        <f t="shared" si="13"/>
        <v/>
      </c>
      <c r="F852" s="6" t="s">
        <v>29</v>
      </c>
      <c r="G852" s="6" t="s">
        <v>29</v>
      </c>
      <c r="H852" s="8" t="str">
        <f>IF(A852="","",Bibliotheques!$B$5&amp;IF(RIGHT(Bibliotheques!$B$5,1)="/","","/")&amp;SUBSTITUTE(A852," ","%20"))</f>
        <v/>
      </c>
      <c r="I852" s="6" t="s">
        <v>29</v>
      </c>
      <c r="J852" s="6" t="s">
        <v>29</v>
      </c>
    </row>
    <row r="853" spans="1:10" ht="33.950000000000003" customHeight="1">
      <c r="A853" s="6" t="s">
        <v>29</v>
      </c>
      <c r="B853" s="6" t="s">
        <v>29</v>
      </c>
      <c r="C853" s="7" t="str">
        <f>IF(A853="","",IFERROR(IF(VLOOKUP(B853,Bibliotheques!$A$10:$B$59,2,FALSE)=0,"Nom manquant",VLOOKUP(B853,Bibliotheques!$A$10:$B$59,2,FALSE)),"Clé inconnue"))</f>
        <v/>
      </c>
      <c r="D853" s="6" t="s">
        <v>29</v>
      </c>
      <c r="E853" s="7" t="str">
        <f t="shared" si="13"/>
        <v/>
      </c>
      <c r="F853" s="6" t="s">
        <v>29</v>
      </c>
      <c r="G853" s="6" t="s">
        <v>29</v>
      </c>
      <c r="H853" s="8" t="str">
        <f>IF(A853="","",Bibliotheques!$B$5&amp;IF(RIGHT(Bibliotheques!$B$5,1)="/","","/")&amp;SUBSTITUTE(A853," ","%20"))</f>
        <v/>
      </c>
      <c r="I853" s="6" t="s">
        <v>29</v>
      </c>
      <c r="J853" s="6" t="s">
        <v>29</v>
      </c>
    </row>
    <row r="854" spans="1:10" ht="33.950000000000003" customHeight="1">
      <c r="A854" s="6" t="s">
        <v>29</v>
      </c>
      <c r="B854" s="6" t="s">
        <v>29</v>
      </c>
      <c r="C854" s="7" t="str">
        <f>IF(A854="","",IFERROR(IF(VLOOKUP(B854,Bibliotheques!$A$10:$B$59,2,FALSE)=0,"Nom manquant",VLOOKUP(B854,Bibliotheques!$A$10:$B$59,2,FALSE)),"Clé inconnue"))</f>
        <v/>
      </c>
      <c r="D854" s="6" t="s">
        <v>29</v>
      </c>
      <c r="E854" s="7" t="str">
        <f t="shared" si="13"/>
        <v/>
      </c>
      <c r="F854" s="6" t="s">
        <v>29</v>
      </c>
      <c r="G854" s="6" t="s">
        <v>29</v>
      </c>
      <c r="H854" s="8" t="str">
        <f>IF(A854="","",Bibliotheques!$B$5&amp;IF(RIGHT(Bibliotheques!$B$5,1)="/","","/")&amp;SUBSTITUTE(A854," ","%20"))</f>
        <v/>
      </c>
      <c r="I854" s="6" t="s">
        <v>29</v>
      </c>
      <c r="J854" s="6" t="s">
        <v>29</v>
      </c>
    </row>
    <row r="855" spans="1:10" ht="33.950000000000003" customHeight="1">
      <c r="A855" s="6" t="s">
        <v>29</v>
      </c>
      <c r="B855" s="6" t="s">
        <v>29</v>
      </c>
      <c r="C855" s="7" t="str">
        <f>IF(A855="","",IFERROR(IF(VLOOKUP(B855,Bibliotheques!$A$10:$B$59,2,FALSE)=0,"Nom manquant",VLOOKUP(B855,Bibliotheques!$A$10:$B$59,2,FALSE)),"Clé inconnue"))</f>
        <v/>
      </c>
      <c r="D855" s="6" t="s">
        <v>29</v>
      </c>
      <c r="E855" s="7" t="str">
        <f t="shared" si="13"/>
        <v/>
      </c>
      <c r="F855" s="6" t="s">
        <v>29</v>
      </c>
      <c r="G855" s="6" t="s">
        <v>29</v>
      </c>
      <c r="H855" s="8" t="str">
        <f>IF(A855="","",Bibliotheques!$B$5&amp;IF(RIGHT(Bibliotheques!$B$5,1)="/","","/")&amp;SUBSTITUTE(A855," ","%20"))</f>
        <v/>
      </c>
      <c r="I855" s="6" t="s">
        <v>29</v>
      </c>
      <c r="J855" s="6" t="s">
        <v>29</v>
      </c>
    </row>
    <row r="856" spans="1:10" ht="33.950000000000003" customHeight="1">
      <c r="A856" s="6" t="s">
        <v>29</v>
      </c>
      <c r="B856" s="6" t="s">
        <v>29</v>
      </c>
      <c r="C856" s="7" t="str">
        <f>IF(A856="","",IFERROR(IF(VLOOKUP(B856,Bibliotheques!$A$10:$B$59,2,FALSE)=0,"Nom manquant",VLOOKUP(B856,Bibliotheques!$A$10:$B$59,2,FALSE)),"Clé inconnue"))</f>
        <v/>
      </c>
      <c r="D856" s="6" t="s">
        <v>29</v>
      </c>
      <c r="E856" s="7" t="str">
        <f t="shared" si="13"/>
        <v/>
      </c>
      <c r="F856" s="6" t="s">
        <v>29</v>
      </c>
      <c r="G856" s="6" t="s">
        <v>29</v>
      </c>
      <c r="H856" s="8" t="str">
        <f>IF(A856="","",Bibliotheques!$B$5&amp;IF(RIGHT(Bibliotheques!$B$5,1)="/","","/")&amp;SUBSTITUTE(A856," ","%20"))</f>
        <v/>
      </c>
      <c r="I856" s="6" t="s">
        <v>29</v>
      </c>
      <c r="J856" s="6" t="s">
        <v>29</v>
      </c>
    </row>
    <row r="857" spans="1:10" ht="33.950000000000003" customHeight="1">
      <c r="A857" s="6" t="s">
        <v>29</v>
      </c>
      <c r="B857" s="6" t="s">
        <v>29</v>
      </c>
      <c r="C857" s="7" t="str">
        <f>IF(A857="","",IFERROR(IF(VLOOKUP(B857,Bibliotheques!$A$10:$B$59,2,FALSE)=0,"Nom manquant",VLOOKUP(B857,Bibliotheques!$A$10:$B$59,2,FALSE)),"Clé inconnue"))</f>
        <v/>
      </c>
      <c r="D857" s="6" t="s">
        <v>29</v>
      </c>
      <c r="E857" s="7" t="str">
        <f t="shared" si="13"/>
        <v/>
      </c>
      <c r="F857" s="6" t="s">
        <v>29</v>
      </c>
      <c r="G857" s="6" t="s">
        <v>29</v>
      </c>
      <c r="H857" s="8" t="str">
        <f>IF(A857="","",Bibliotheques!$B$5&amp;IF(RIGHT(Bibliotheques!$B$5,1)="/","","/")&amp;SUBSTITUTE(A857," ","%20"))</f>
        <v/>
      </c>
      <c r="I857" s="6" t="s">
        <v>29</v>
      </c>
      <c r="J857" s="6" t="s">
        <v>29</v>
      </c>
    </row>
    <row r="858" spans="1:10" ht="33.950000000000003" customHeight="1">
      <c r="A858" s="6" t="s">
        <v>29</v>
      </c>
      <c r="B858" s="6" t="s">
        <v>29</v>
      </c>
      <c r="C858" s="7" t="str">
        <f>IF(A858="","",IFERROR(IF(VLOOKUP(B858,Bibliotheques!$A$10:$B$59,2,FALSE)=0,"Nom manquant",VLOOKUP(B858,Bibliotheques!$A$10:$B$59,2,FALSE)),"Clé inconnue"))</f>
        <v/>
      </c>
      <c r="D858" s="6" t="s">
        <v>29</v>
      </c>
      <c r="E858" s="7" t="str">
        <f t="shared" si="13"/>
        <v/>
      </c>
      <c r="F858" s="6" t="s">
        <v>29</v>
      </c>
      <c r="G858" s="6" t="s">
        <v>29</v>
      </c>
      <c r="H858" s="8" t="str">
        <f>IF(A858="","",Bibliotheques!$B$5&amp;IF(RIGHT(Bibliotheques!$B$5,1)="/","","/")&amp;SUBSTITUTE(A858," ","%20"))</f>
        <v/>
      </c>
      <c r="I858" s="6" t="s">
        <v>29</v>
      </c>
      <c r="J858" s="6" t="s">
        <v>29</v>
      </c>
    </row>
    <row r="859" spans="1:10" ht="33.950000000000003" customHeight="1">
      <c r="A859" s="6" t="s">
        <v>29</v>
      </c>
      <c r="B859" s="6" t="s">
        <v>29</v>
      </c>
      <c r="C859" s="7" t="str">
        <f>IF(A859="","",IFERROR(IF(VLOOKUP(B859,Bibliotheques!$A$10:$B$59,2,FALSE)=0,"Nom manquant",VLOOKUP(B859,Bibliotheques!$A$10:$B$59,2,FALSE)),"Clé inconnue"))</f>
        <v/>
      </c>
      <c r="D859" s="6" t="s">
        <v>29</v>
      </c>
      <c r="E859" s="7" t="str">
        <f t="shared" si="13"/>
        <v/>
      </c>
      <c r="F859" s="6" t="s">
        <v>29</v>
      </c>
      <c r="G859" s="6" t="s">
        <v>29</v>
      </c>
      <c r="H859" s="8" t="str">
        <f>IF(A859="","",Bibliotheques!$B$5&amp;IF(RIGHT(Bibliotheques!$B$5,1)="/","","/")&amp;SUBSTITUTE(A859," ","%20"))</f>
        <v/>
      </c>
      <c r="I859" s="6" t="s">
        <v>29</v>
      </c>
      <c r="J859" s="6" t="s">
        <v>29</v>
      </c>
    </row>
    <row r="860" spans="1:10" ht="33.950000000000003" customHeight="1">
      <c r="A860" s="6" t="s">
        <v>29</v>
      </c>
      <c r="B860" s="6" t="s">
        <v>29</v>
      </c>
      <c r="C860" s="7" t="str">
        <f>IF(A860="","",IFERROR(IF(VLOOKUP(B860,Bibliotheques!$A$10:$B$59,2,FALSE)=0,"Nom manquant",VLOOKUP(B860,Bibliotheques!$A$10:$B$59,2,FALSE)),"Clé inconnue"))</f>
        <v/>
      </c>
      <c r="D860" s="6" t="s">
        <v>29</v>
      </c>
      <c r="E860" s="7" t="str">
        <f t="shared" si="13"/>
        <v/>
      </c>
      <c r="F860" s="6" t="s">
        <v>29</v>
      </c>
      <c r="G860" s="6" t="s">
        <v>29</v>
      </c>
      <c r="H860" s="8" t="str">
        <f>IF(A860="","",Bibliotheques!$B$5&amp;IF(RIGHT(Bibliotheques!$B$5,1)="/","","/")&amp;SUBSTITUTE(A860," ","%20"))</f>
        <v/>
      </c>
      <c r="I860" s="6" t="s">
        <v>29</v>
      </c>
      <c r="J860" s="6" t="s">
        <v>29</v>
      </c>
    </row>
    <row r="861" spans="1:10" ht="33.950000000000003" customHeight="1">
      <c r="A861" s="6" t="s">
        <v>29</v>
      </c>
      <c r="B861" s="6" t="s">
        <v>29</v>
      </c>
      <c r="C861" s="7" t="str">
        <f>IF(A861="","",IFERROR(IF(VLOOKUP(B861,Bibliotheques!$A$10:$B$59,2,FALSE)=0,"Nom manquant",VLOOKUP(B861,Bibliotheques!$A$10:$B$59,2,FALSE)),"Clé inconnue"))</f>
        <v/>
      </c>
      <c r="D861" s="6" t="s">
        <v>29</v>
      </c>
      <c r="E861" s="7" t="str">
        <f t="shared" si="13"/>
        <v/>
      </c>
      <c r="F861" s="6" t="s">
        <v>29</v>
      </c>
      <c r="G861" s="6" t="s">
        <v>29</v>
      </c>
      <c r="H861" s="8" t="str">
        <f>IF(A861="","",Bibliotheques!$B$5&amp;IF(RIGHT(Bibliotheques!$B$5,1)="/","","/")&amp;SUBSTITUTE(A861," ","%20"))</f>
        <v/>
      </c>
      <c r="I861" s="6" t="s">
        <v>29</v>
      </c>
      <c r="J861" s="6" t="s">
        <v>29</v>
      </c>
    </row>
    <row r="862" spans="1:10" ht="33.950000000000003" customHeight="1">
      <c r="A862" s="6" t="s">
        <v>29</v>
      </c>
      <c r="B862" s="6" t="s">
        <v>29</v>
      </c>
      <c r="C862" s="7" t="str">
        <f>IF(A862="","",IFERROR(IF(VLOOKUP(B862,Bibliotheques!$A$10:$B$59,2,FALSE)=0,"Nom manquant",VLOOKUP(B862,Bibliotheques!$A$10:$B$59,2,FALSE)),"Clé inconnue"))</f>
        <v/>
      </c>
      <c r="D862" s="6" t="s">
        <v>29</v>
      </c>
      <c r="E862" s="7" t="str">
        <f t="shared" si="13"/>
        <v/>
      </c>
      <c r="F862" s="6" t="s">
        <v>29</v>
      </c>
      <c r="G862" s="6" t="s">
        <v>29</v>
      </c>
      <c r="H862" s="8" t="str">
        <f>IF(A862="","",Bibliotheques!$B$5&amp;IF(RIGHT(Bibliotheques!$B$5,1)="/","","/")&amp;SUBSTITUTE(A862," ","%20"))</f>
        <v/>
      </c>
      <c r="I862" s="6" t="s">
        <v>29</v>
      </c>
      <c r="J862" s="6" t="s">
        <v>29</v>
      </c>
    </row>
    <row r="863" spans="1:10" ht="33.950000000000003" customHeight="1">
      <c r="A863" s="6" t="s">
        <v>29</v>
      </c>
      <c r="B863" s="6" t="s">
        <v>29</v>
      </c>
      <c r="C863" s="7" t="str">
        <f>IF(A863="","",IFERROR(IF(VLOOKUP(B863,Bibliotheques!$A$10:$B$59,2,FALSE)=0,"Nom manquant",VLOOKUP(B863,Bibliotheques!$A$10:$B$59,2,FALSE)),"Clé inconnue"))</f>
        <v/>
      </c>
      <c r="D863" s="6" t="s">
        <v>29</v>
      </c>
      <c r="E863" s="7" t="str">
        <f t="shared" si="13"/>
        <v/>
      </c>
      <c r="F863" s="6" t="s">
        <v>29</v>
      </c>
      <c r="G863" s="6" t="s">
        <v>29</v>
      </c>
      <c r="H863" s="8" t="str">
        <f>IF(A863="","",Bibliotheques!$B$5&amp;IF(RIGHT(Bibliotheques!$B$5,1)="/","","/")&amp;SUBSTITUTE(A863," ","%20"))</f>
        <v/>
      </c>
      <c r="I863" s="6" t="s">
        <v>29</v>
      </c>
      <c r="J863" s="6" t="s">
        <v>29</v>
      </c>
    </row>
    <row r="864" spans="1:10" ht="33.950000000000003" customHeight="1">
      <c r="A864" s="6" t="s">
        <v>29</v>
      </c>
      <c r="B864" s="6" t="s">
        <v>29</v>
      </c>
      <c r="C864" s="7" t="str">
        <f>IF(A864="","",IFERROR(IF(VLOOKUP(B864,Bibliotheques!$A$10:$B$59,2,FALSE)=0,"Nom manquant",VLOOKUP(B864,Bibliotheques!$A$10:$B$59,2,FALSE)),"Clé inconnue"))</f>
        <v/>
      </c>
      <c r="D864" s="6" t="s">
        <v>29</v>
      </c>
      <c r="E864" s="7" t="str">
        <f t="shared" si="13"/>
        <v/>
      </c>
      <c r="F864" s="6" t="s">
        <v>29</v>
      </c>
      <c r="G864" s="6" t="s">
        <v>29</v>
      </c>
      <c r="H864" s="8" t="str">
        <f>IF(A864="","",Bibliotheques!$B$5&amp;IF(RIGHT(Bibliotheques!$B$5,1)="/","","/")&amp;SUBSTITUTE(A864," ","%20"))</f>
        <v/>
      </c>
      <c r="I864" s="6" t="s">
        <v>29</v>
      </c>
      <c r="J864" s="6" t="s">
        <v>29</v>
      </c>
    </row>
    <row r="865" spans="1:10" ht="33.950000000000003" customHeight="1">
      <c r="A865" s="6" t="s">
        <v>29</v>
      </c>
      <c r="B865" s="6" t="s">
        <v>29</v>
      </c>
      <c r="C865" s="7" t="str">
        <f>IF(A865="","",IFERROR(IF(VLOOKUP(B865,Bibliotheques!$A$10:$B$59,2,FALSE)=0,"Nom manquant",VLOOKUP(B865,Bibliotheques!$A$10:$B$59,2,FALSE)),"Clé inconnue"))</f>
        <v/>
      </c>
      <c r="D865" s="6" t="s">
        <v>29</v>
      </c>
      <c r="E865" s="7" t="str">
        <f t="shared" si="13"/>
        <v/>
      </c>
      <c r="F865" s="6" t="s">
        <v>29</v>
      </c>
      <c r="G865" s="6" t="s">
        <v>29</v>
      </c>
      <c r="H865" s="8" t="str">
        <f>IF(A865="","",Bibliotheques!$B$5&amp;IF(RIGHT(Bibliotheques!$B$5,1)="/","","/")&amp;SUBSTITUTE(A865," ","%20"))</f>
        <v/>
      </c>
      <c r="I865" s="6" t="s">
        <v>29</v>
      </c>
      <c r="J865" s="6" t="s">
        <v>29</v>
      </c>
    </row>
    <row r="866" spans="1:10" ht="33.950000000000003" customHeight="1">
      <c r="A866" s="6" t="s">
        <v>29</v>
      </c>
      <c r="B866" s="6" t="s">
        <v>29</v>
      </c>
      <c r="C866" s="7" t="str">
        <f>IF(A866="","",IFERROR(IF(VLOOKUP(B866,Bibliotheques!$A$10:$B$59,2,FALSE)=0,"Nom manquant",VLOOKUP(B866,Bibliotheques!$A$10:$B$59,2,FALSE)),"Clé inconnue"))</f>
        <v/>
      </c>
      <c r="D866" s="6" t="s">
        <v>29</v>
      </c>
      <c r="E866" s="7" t="str">
        <f t="shared" si="13"/>
        <v/>
      </c>
      <c r="F866" s="6" t="s">
        <v>29</v>
      </c>
      <c r="G866" s="6" t="s">
        <v>29</v>
      </c>
      <c r="H866" s="8" t="str">
        <f>IF(A866="","",Bibliotheques!$B$5&amp;IF(RIGHT(Bibliotheques!$B$5,1)="/","","/")&amp;SUBSTITUTE(A866," ","%20"))</f>
        <v/>
      </c>
      <c r="I866" s="6" t="s">
        <v>29</v>
      </c>
      <c r="J866" s="6" t="s">
        <v>29</v>
      </c>
    </row>
    <row r="867" spans="1:10" ht="33.950000000000003" customHeight="1">
      <c r="A867" s="6" t="s">
        <v>29</v>
      </c>
      <c r="B867" s="6" t="s">
        <v>29</v>
      </c>
      <c r="C867" s="7" t="str">
        <f>IF(A867="","",IFERROR(IF(VLOOKUP(B867,Bibliotheques!$A$10:$B$59,2,FALSE)=0,"Nom manquant",VLOOKUP(B867,Bibliotheques!$A$10:$B$59,2,FALSE)),"Clé inconnue"))</f>
        <v/>
      </c>
      <c r="D867" s="6" t="s">
        <v>29</v>
      </c>
      <c r="E867" s="7" t="str">
        <f t="shared" si="13"/>
        <v/>
      </c>
      <c r="F867" s="6" t="s">
        <v>29</v>
      </c>
      <c r="G867" s="6" t="s">
        <v>29</v>
      </c>
      <c r="H867" s="8" t="str">
        <f>IF(A867="","",Bibliotheques!$B$5&amp;IF(RIGHT(Bibliotheques!$B$5,1)="/","","/")&amp;SUBSTITUTE(A867," ","%20"))</f>
        <v/>
      </c>
      <c r="I867" s="6" t="s">
        <v>29</v>
      </c>
      <c r="J867" s="6" t="s">
        <v>29</v>
      </c>
    </row>
    <row r="868" spans="1:10" ht="33.950000000000003" customHeight="1">
      <c r="A868" s="6" t="s">
        <v>29</v>
      </c>
      <c r="B868" s="6" t="s">
        <v>29</v>
      </c>
      <c r="C868" s="7" t="str">
        <f>IF(A868="","",IFERROR(IF(VLOOKUP(B868,Bibliotheques!$A$10:$B$59,2,FALSE)=0,"Nom manquant",VLOOKUP(B868,Bibliotheques!$A$10:$B$59,2,FALSE)),"Clé inconnue"))</f>
        <v/>
      </c>
      <c r="D868" s="6" t="s">
        <v>29</v>
      </c>
      <c r="E868" s="7" t="str">
        <f t="shared" si="13"/>
        <v/>
      </c>
      <c r="F868" s="6" t="s">
        <v>29</v>
      </c>
      <c r="G868" s="6" t="s">
        <v>29</v>
      </c>
      <c r="H868" s="8" t="str">
        <f>IF(A868="","",Bibliotheques!$B$5&amp;IF(RIGHT(Bibliotheques!$B$5,1)="/","","/")&amp;SUBSTITUTE(A868," ","%20"))</f>
        <v/>
      </c>
      <c r="I868" s="6" t="s">
        <v>29</v>
      </c>
      <c r="J868" s="6" t="s">
        <v>29</v>
      </c>
    </row>
    <row r="869" spans="1:10" ht="33.950000000000003" customHeight="1">
      <c r="A869" s="6" t="s">
        <v>29</v>
      </c>
      <c r="B869" s="6" t="s">
        <v>29</v>
      </c>
      <c r="C869" s="7" t="str">
        <f>IF(A869="","",IFERROR(IF(VLOOKUP(B869,Bibliotheques!$A$10:$B$59,2,FALSE)=0,"Nom manquant",VLOOKUP(B869,Bibliotheques!$A$10:$B$59,2,FALSE)),"Clé inconnue"))</f>
        <v/>
      </c>
      <c r="D869" s="6" t="s">
        <v>29</v>
      </c>
      <c r="E869" s="7" t="str">
        <f t="shared" si="13"/>
        <v/>
      </c>
      <c r="F869" s="6" t="s">
        <v>29</v>
      </c>
      <c r="G869" s="6" t="s">
        <v>29</v>
      </c>
      <c r="H869" s="8" t="str">
        <f>IF(A869="","",Bibliotheques!$B$5&amp;IF(RIGHT(Bibliotheques!$B$5,1)="/","","/")&amp;SUBSTITUTE(A869," ","%20"))</f>
        <v/>
      </c>
      <c r="I869" s="6" t="s">
        <v>29</v>
      </c>
      <c r="J869" s="6" t="s">
        <v>29</v>
      </c>
    </row>
    <row r="870" spans="1:10" ht="33.950000000000003" customHeight="1">
      <c r="A870" s="6" t="s">
        <v>29</v>
      </c>
      <c r="B870" s="6" t="s">
        <v>29</v>
      </c>
      <c r="C870" s="7" t="str">
        <f>IF(A870="","",IFERROR(IF(VLOOKUP(B870,Bibliotheques!$A$10:$B$59,2,FALSE)=0,"Nom manquant",VLOOKUP(B870,Bibliotheques!$A$10:$B$59,2,FALSE)),"Clé inconnue"))</f>
        <v/>
      </c>
      <c r="D870" s="6" t="s">
        <v>29</v>
      </c>
      <c r="E870" s="7" t="str">
        <f t="shared" si="13"/>
        <v/>
      </c>
      <c r="F870" s="6" t="s">
        <v>29</v>
      </c>
      <c r="G870" s="6" t="s">
        <v>29</v>
      </c>
      <c r="H870" s="8" t="str">
        <f>IF(A870="","",Bibliotheques!$B$5&amp;IF(RIGHT(Bibliotheques!$B$5,1)="/","","/")&amp;SUBSTITUTE(A870," ","%20"))</f>
        <v/>
      </c>
      <c r="I870" s="6" t="s">
        <v>29</v>
      </c>
      <c r="J870" s="6" t="s">
        <v>29</v>
      </c>
    </row>
    <row r="871" spans="1:10" ht="33.950000000000003" customHeight="1">
      <c r="A871" s="6" t="s">
        <v>29</v>
      </c>
      <c r="B871" s="6" t="s">
        <v>29</v>
      </c>
      <c r="C871" s="7" t="str">
        <f>IF(A871="","",IFERROR(IF(VLOOKUP(B871,Bibliotheques!$A$10:$B$59,2,FALSE)=0,"Nom manquant",VLOOKUP(B871,Bibliotheques!$A$10:$B$59,2,FALSE)),"Clé inconnue"))</f>
        <v/>
      </c>
      <c r="D871" s="6" t="s">
        <v>29</v>
      </c>
      <c r="E871" s="7" t="str">
        <f t="shared" si="13"/>
        <v/>
      </c>
      <c r="F871" s="6" t="s">
        <v>29</v>
      </c>
      <c r="G871" s="6" t="s">
        <v>29</v>
      </c>
      <c r="H871" s="8" t="str">
        <f>IF(A871="","",Bibliotheques!$B$5&amp;IF(RIGHT(Bibliotheques!$B$5,1)="/","","/")&amp;SUBSTITUTE(A871," ","%20"))</f>
        <v/>
      </c>
      <c r="I871" s="6" t="s">
        <v>29</v>
      </c>
      <c r="J871" s="6" t="s">
        <v>29</v>
      </c>
    </row>
    <row r="872" spans="1:10" ht="33.950000000000003" customHeight="1">
      <c r="A872" s="6" t="s">
        <v>29</v>
      </c>
      <c r="B872" s="6" t="s">
        <v>29</v>
      </c>
      <c r="C872" s="7" t="str">
        <f>IF(A872="","",IFERROR(IF(VLOOKUP(B872,Bibliotheques!$A$10:$B$59,2,FALSE)=0,"Nom manquant",VLOOKUP(B872,Bibliotheques!$A$10:$B$59,2,FALSE)),"Clé inconnue"))</f>
        <v/>
      </c>
      <c r="D872" s="6" t="s">
        <v>29</v>
      </c>
      <c r="E872" s="7" t="str">
        <f t="shared" si="13"/>
        <v/>
      </c>
      <c r="F872" s="6" t="s">
        <v>29</v>
      </c>
      <c r="G872" s="6" t="s">
        <v>29</v>
      </c>
      <c r="H872" s="8" t="str">
        <f>IF(A872="","",Bibliotheques!$B$5&amp;IF(RIGHT(Bibliotheques!$B$5,1)="/","","/")&amp;SUBSTITUTE(A872," ","%20"))</f>
        <v/>
      </c>
      <c r="I872" s="6" t="s">
        <v>29</v>
      </c>
      <c r="J872" s="6" t="s">
        <v>29</v>
      </c>
    </row>
    <row r="873" spans="1:10" ht="33.950000000000003" customHeight="1">
      <c r="A873" s="6" t="s">
        <v>29</v>
      </c>
      <c r="B873" s="6" t="s">
        <v>29</v>
      </c>
      <c r="C873" s="7" t="str">
        <f>IF(A873="","",IFERROR(IF(VLOOKUP(B873,Bibliotheques!$A$10:$B$59,2,FALSE)=0,"Nom manquant",VLOOKUP(B873,Bibliotheques!$A$10:$B$59,2,FALSE)),"Clé inconnue"))</f>
        <v/>
      </c>
      <c r="D873" s="6" t="s">
        <v>29</v>
      </c>
      <c r="E873" s="7" t="str">
        <f t="shared" si="13"/>
        <v/>
      </c>
      <c r="F873" s="6" t="s">
        <v>29</v>
      </c>
      <c r="G873" s="6" t="s">
        <v>29</v>
      </c>
      <c r="H873" s="8" t="str">
        <f>IF(A873="","",Bibliotheques!$B$5&amp;IF(RIGHT(Bibliotheques!$B$5,1)="/","","/")&amp;SUBSTITUTE(A873," ","%20"))</f>
        <v/>
      </c>
      <c r="I873" s="6" t="s">
        <v>29</v>
      </c>
      <c r="J873" s="6" t="s">
        <v>29</v>
      </c>
    </row>
    <row r="874" spans="1:10" ht="33.950000000000003" customHeight="1">
      <c r="A874" s="6" t="s">
        <v>29</v>
      </c>
      <c r="B874" s="6" t="s">
        <v>29</v>
      </c>
      <c r="C874" s="7" t="str">
        <f>IF(A874="","",IFERROR(IF(VLOOKUP(B874,Bibliotheques!$A$10:$B$59,2,FALSE)=0,"Nom manquant",VLOOKUP(B874,Bibliotheques!$A$10:$B$59,2,FALSE)),"Clé inconnue"))</f>
        <v/>
      </c>
      <c r="D874" s="6" t="s">
        <v>29</v>
      </c>
      <c r="E874" s="7" t="str">
        <f t="shared" si="13"/>
        <v/>
      </c>
      <c r="F874" s="6" t="s">
        <v>29</v>
      </c>
      <c r="G874" s="6" t="s">
        <v>29</v>
      </c>
      <c r="H874" s="8" t="str">
        <f>IF(A874="","",Bibliotheques!$B$5&amp;IF(RIGHT(Bibliotheques!$B$5,1)="/","","/")&amp;SUBSTITUTE(A874," ","%20"))</f>
        <v/>
      </c>
      <c r="I874" s="6" t="s">
        <v>29</v>
      </c>
      <c r="J874" s="6" t="s">
        <v>29</v>
      </c>
    </row>
    <row r="875" spans="1:10" ht="33.950000000000003" customHeight="1">
      <c r="A875" s="6" t="s">
        <v>29</v>
      </c>
      <c r="B875" s="6" t="s">
        <v>29</v>
      </c>
      <c r="C875" s="7" t="str">
        <f>IF(A875="","",IFERROR(IF(VLOOKUP(B875,Bibliotheques!$A$10:$B$59,2,FALSE)=0,"Nom manquant",VLOOKUP(B875,Bibliotheques!$A$10:$B$59,2,FALSE)),"Clé inconnue"))</f>
        <v/>
      </c>
      <c r="D875" s="6" t="s">
        <v>29</v>
      </c>
      <c r="E875" s="7" t="str">
        <f t="shared" si="13"/>
        <v/>
      </c>
      <c r="F875" s="6" t="s">
        <v>29</v>
      </c>
      <c r="G875" s="6" t="s">
        <v>29</v>
      </c>
      <c r="H875" s="8" t="str">
        <f>IF(A875="","",Bibliotheques!$B$5&amp;IF(RIGHT(Bibliotheques!$B$5,1)="/","","/")&amp;SUBSTITUTE(A875," ","%20"))</f>
        <v/>
      </c>
      <c r="I875" s="6" t="s">
        <v>29</v>
      </c>
      <c r="J875" s="6" t="s">
        <v>29</v>
      </c>
    </row>
    <row r="876" spans="1:10" ht="33.950000000000003" customHeight="1">
      <c r="A876" s="6" t="s">
        <v>29</v>
      </c>
      <c r="B876" s="6" t="s">
        <v>29</v>
      </c>
      <c r="C876" s="7" t="str">
        <f>IF(A876="","",IFERROR(IF(VLOOKUP(B876,Bibliotheques!$A$10:$B$59,2,FALSE)=0,"Nom manquant",VLOOKUP(B876,Bibliotheques!$A$10:$B$59,2,FALSE)),"Clé inconnue"))</f>
        <v/>
      </c>
      <c r="D876" s="6" t="s">
        <v>29</v>
      </c>
      <c r="E876" s="7" t="str">
        <f t="shared" si="13"/>
        <v/>
      </c>
      <c r="F876" s="6" t="s">
        <v>29</v>
      </c>
      <c r="G876" s="6" t="s">
        <v>29</v>
      </c>
      <c r="H876" s="8" t="str">
        <f>IF(A876="","",Bibliotheques!$B$5&amp;IF(RIGHT(Bibliotheques!$B$5,1)="/","","/")&amp;SUBSTITUTE(A876," ","%20"))</f>
        <v/>
      </c>
      <c r="I876" s="6" t="s">
        <v>29</v>
      </c>
      <c r="J876" s="6" t="s">
        <v>29</v>
      </c>
    </row>
    <row r="877" spans="1:10" ht="33.950000000000003" customHeight="1">
      <c r="A877" s="6" t="s">
        <v>29</v>
      </c>
      <c r="B877" s="6" t="s">
        <v>29</v>
      </c>
      <c r="C877" s="7" t="str">
        <f>IF(A877="","",IFERROR(IF(VLOOKUP(B877,Bibliotheques!$A$10:$B$59,2,FALSE)=0,"Nom manquant",VLOOKUP(B877,Bibliotheques!$A$10:$B$59,2,FALSE)),"Clé inconnue"))</f>
        <v/>
      </c>
      <c r="D877" s="6" t="s">
        <v>29</v>
      </c>
      <c r="E877" s="7" t="str">
        <f t="shared" si="13"/>
        <v/>
      </c>
      <c r="F877" s="6" t="s">
        <v>29</v>
      </c>
      <c r="G877" s="6" t="s">
        <v>29</v>
      </c>
      <c r="H877" s="8" t="str">
        <f>IF(A877="","",Bibliotheques!$B$5&amp;IF(RIGHT(Bibliotheques!$B$5,1)="/","","/")&amp;SUBSTITUTE(A877," ","%20"))</f>
        <v/>
      </c>
      <c r="I877" s="6" t="s">
        <v>29</v>
      </c>
      <c r="J877" s="6" t="s">
        <v>29</v>
      </c>
    </row>
    <row r="878" spans="1:10" ht="33.950000000000003" customHeight="1">
      <c r="A878" s="6" t="s">
        <v>29</v>
      </c>
      <c r="B878" s="6" t="s">
        <v>29</v>
      </c>
      <c r="C878" s="7" t="str">
        <f>IF(A878="","",IFERROR(IF(VLOOKUP(B878,Bibliotheques!$A$10:$B$59,2,FALSE)=0,"Nom manquant",VLOOKUP(B878,Bibliotheques!$A$10:$B$59,2,FALSE)),"Clé inconnue"))</f>
        <v/>
      </c>
      <c r="D878" s="6" t="s">
        <v>29</v>
      </c>
      <c r="E878" s="7" t="str">
        <f t="shared" si="13"/>
        <v/>
      </c>
      <c r="F878" s="6" t="s">
        <v>29</v>
      </c>
      <c r="G878" s="6" t="s">
        <v>29</v>
      </c>
      <c r="H878" s="8" t="str">
        <f>IF(A878="","",Bibliotheques!$B$5&amp;IF(RIGHT(Bibliotheques!$B$5,1)="/","","/")&amp;SUBSTITUTE(A878," ","%20"))</f>
        <v/>
      </c>
      <c r="I878" s="6" t="s">
        <v>29</v>
      </c>
      <c r="J878" s="6" t="s">
        <v>29</v>
      </c>
    </row>
    <row r="879" spans="1:10" ht="33.950000000000003" customHeight="1">
      <c r="A879" s="6" t="s">
        <v>29</v>
      </c>
      <c r="B879" s="6" t="s">
        <v>29</v>
      </c>
      <c r="C879" s="7" t="str">
        <f>IF(A879="","",IFERROR(IF(VLOOKUP(B879,Bibliotheques!$A$10:$B$59,2,FALSE)=0,"Nom manquant",VLOOKUP(B879,Bibliotheques!$A$10:$B$59,2,FALSE)),"Clé inconnue"))</f>
        <v/>
      </c>
      <c r="D879" s="6" t="s">
        <v>29</v>
      </c>
      <c r="E879" s="7" t="str">
        <f t="shared" si="13"/>
        <v/>
      </c>
      <c r="F879" s="6" t="s">
        <v>29</v>
      </c>
      <c r="G879" s="6" t="s">
        <v>29</v>
      </c>
      <c r="H879" s="8" t="str">
        <f>IF(A879="","",Bibliotheques!$B$5&amp;IF(RIGHT(Bibliotheques!$B$5,1)="/","","/")&amp;SUBSTITUTE(A879," ","%20"))</f>
        <v/>
      </c>
      <c r="I879" s="6" t="s">
        <v>29</v>
      </c>
      <c r="J879" s="6" t="s">
        <v>29</v>
      </c>
    </row>
    <row r="880" spans="1:10" ht="33.950000000000003" customHeight="1">
      <c r="A880" s="6" t="s">
        <v>29</v>
      </c>
      <c r="B880" s="6" t="s">
        <v>29</v>
      </c>
      <c r="C880" s="7" t="str">
        <f>IF(A880="","",IFERROR(IF(VLOOKUP(B880,Bibliotheques!$A$10:$B$59,2,FALSE)=0,"Nom manquant",VLOOKUP(B880,Bibliotheques!$A$10:$B$59,2,FALSE)),"Clé inconnue"))</f>
        <v/>
      </c>
      <c r="D880" s="6" t="s">
        <v>29</v>
      </c>
      <c r="E880" s="7" t="str">
        <f t="shared" si="13"/>
        <v/>
      </c>
      <c r="F880" s="6" t="s">
        <v>29</v>
      </c>
      <c r="G880" s="6" t="s">
        <v>29</v>
      </c>
      <c r="H880" s="8" t="str">
        <f>IF(A880="","",Bibliotheques!$B$5&amp;IF(RIGHT(Bibliotheques!$B$5,1)="/","","/")&amp;SUBSTITUTE(A880," ","%20"))</f>
        <v/>
      </c>
      <c r="I880" s="6" t="s">
        <v>29</v>
      </c>
      <c r="J880" s="6" t="s">
        <v>29</v>
      </c>
    </row>
    <row r="881" spans="1:10" ht="33.950000000000003" customHeight="1">
      <c r="A881" s="6" t="s">
        <v>29</v>
      </c>
      <c r="B881" s="6" t="s">
        <v>29</v>
      </c>
      <c r="C881" s="7" t="str">
        <f>IF(A881="","",IFERROR(IF(VLOOKUP(B881,Bibliotheques!$A$10:$B$59,2,FALSE)=0,"Nom manquant",VLOOKUP(B881,Bibliotheques!$A$10:$B$59,2,FALSE)),"Clé inconnue"))</f>
        <v/>
      </c>
      <c r="D881" s="6" t="s">
        <v>29</v>
      </c>
      <c r="E881" s="7" t="str">
        <f t="shared" si="13"/>
        <v/>
      </c>
      <c r="F881" s="6" t="s">
        <v>29</v>
      </c>
      <c r="G881" s="6" t="s">
        <v>29</v>
      </c>
      <c r="H881" s="8" t="str">
        <f>IF(A881="","",Bibliotheques!$B$5&amp;IF(RIGHT(Bibliotheques!$B$5,1)="/","","/")&amp;SUBSTITUTE(A881," ","%20"))</f>
        <v/>
      </c>
      <c r="I881" s="6" t="s">
        <v>29</v>
      </c>
      <c r="J881" s="6" t="s">
        <v>29</v>
      </c>
    </row>
    <row r="882" spans="1:10" ht="33.950000000000003" customHeight="1">
      <c r="A882" s="6" t="s">
        <v>29</v>
      </c>
      <c r="B882" s="6" t="s">
        <v>29</v>
      </c>
      <c r="C882" s="7" t="str">
        <f>IF(A882="","",IFERROR(IF(VLOOKUP(B882,Bibliotheques!$A$10:$B$59,2,FALSE)=0,"Nom manquant",VLOOKUP(B882,Bibliotheques!$A$10:$B$59,2,FALSE)),"Clé inconnue"))</f>
        <v/>
      </c>
      <c r="D882" s="6" t="s">
        <v>29</v>
      </c>
      <c r="E882" s="7" t="str">
        <f t="shared" si="13"/>
        <v/>
      </c>
      <c r="F882" s="6" t="s">
        <v>29</v>
      </c>
      <c r="G882" s="6" t="s">
        <v>29</v>
      </c>
      <c r="H882" s="8" t="str">
        <f>IF(A882="","",Bibliotheques!$B$5&amp;IF(RIGHT(Bibliotheques!$B$5,1)="/","","/")&amp;SUBSTITUTE(A882," ","%20"))</f>
        <v/>
      </c>
      <c r="I882" s="6" t="s">
        <v>29</v>
      </c>
      <c r="J882" s="6" t="s">
        <v>29</v>
      </c>
    </row>
    <row r="883" spans="1:10" ht="33.950000000000003" customHeight="1">
      <c r="A883" s="6" t="s">
        <v>29</v>
      </c>
      <c r="B883" s="6" t="s">
        <v>29</v>
      </c>
      <c r="C883" s="7" t="str">
        <f>IF(A883="","",IFERROR(IF(VLOOKUP(B883,Bibliotheques!$A$10:$B$59,2,FALSE)=0,"Nom manquant",VLOOKUP(B883,Bibliotheques!$A$10:$B$59,2,FALSE)),"Clé inconnue"))</f>
        <v/>
      </c>
      <c r="D883" s="6" t="s">
        <v>29</v>
      </c>
      <c r="E883" s="7" t="str">
        <f t="shared" si="13"/>
        <v/>
      </c>
      <c r="F883" s="6" t="s">
        <v>29</v>
      </c>
      <c r="G883" s="6" t="s">
        <v>29</v>
      </c>
      <c r="H883" s="8" t="str">
        <f>IF(A883="","",Bibliotheques!$B$5&amp;IF(RIGHT(Bibliotheques!$B$5,1)="/","","/")&amp;SUBSTITUTE(A883," ","%20"))</f>
        <v/>
      </c>
      <c r="I883" s="6" t="s">
        <v>29</v>
      </c>
      <c r="J883" s="6" t="s">
        <v>29</v>
      </c>
    </row>
    <row r="884" spans="1:10" ht="33.950000000000003" customHeight="1">
      <c r="A884" s="6" t="s">
        <v>29</v>
      </c>
      <c r="B884" s="6" t="s">
        <v>29</v>
      </c>
      <c r="C884" s="7" t="str">
        <f>IF(A884="","",IFERROR(IF(VLOOKUP(B884,Bibliotheques!$A$10:$B$59,2,FALSE)=0,"Nom manquant",VLOOKUP(B884,Bibliotheques!$A$10:$B$59,2,FALSE)),"Clé inconnue"))</f>
        <v/>
      </c>
      <c r="D884" s="6" t="s">
        <v>29</v>
      </c>
      <c r="E884" s="7" t="str">
        <f t="shared" si="13"/>
        <v/>
      </c>
      <c r="F884" s="6" t="s">
        <v>29</v>
      </c>
      <c r="G884" s="6" t="s">
        <v>29</v>
      </c>
      <c r="H884" s="8" t="str">
        <f>IF(A884="","",Bibliotheques!$B$5&amp;IF(RIGHT(Bibliotheques!$B$5,1)="/","","/")&amp;SUBSTITUTE(A884," ","%20"))</f>
        <v/>
      </c>
      <c r="I884" s="6" t="s">
        <v>29</v>
      </c>
      <c r="J884" s="6" t="s">
        <v>29</v>
      </c>
    </row>
    <row r="885" spans="1:10" ht="33.950000000000003" customHeight="1">
      <c r="A885" s="6" t="s">
        <v>29</v>
      </c>
      <c r="B885" s="6" t="s">
        <v>29</v>
      </c>
      <c r="C885" s="7" t="str">
        <f>IF(A885="","",IFERROR(IF(VLOOKUP(B885,Bibliotheques!$A$10:$B$59,2,FALSE)=0,"Nom manquant",VLOOKUP(B885,Bibliotheques!$A$10:$B$59,2,FALSE)),"Clé inconnue"))</f>
        <v/>
      </c>
      <c r="D885" s="6" t="s">
        <v>29</v>
      </c>
      <c r="E885" s="7" t="str">
        <f t="shared" si="13"/>
        <v/>
      </c>
      <c r="F885" s="6" t="s">
        <v>29</v>
      </c>
      <c r="G885" s="6" t="s">
        <v>29</v>
      </c>
      <c r="H885" s="8" t="str">
        <f>IF(A885="","",Bibliotheques!$B$5&amp;IF(RIGHT(Bibliotheques!$B$5,1)="/","","/")&amp;SUBSTITUTE(A885," ","%20"))</f>
        <v/>
      </c>
      <c r="I885" s="6" t="s">
        <v>29</v>
      </c>
      <c r="J885" s="6" t="s">
        <v>29</v>
      </c>
    </row>
    <row r="886" spans="1:10" ht="33.950000000000003" customHeight="1">
      <c r="A886" s="6" t="s">
        <v>29</v>
      </c>
      <c r="B886" s="6" t="s">
        <v>29</v>
      </c>
      <c r="C886" s="7" t="str">
        <f>IF(A886="","",IFERROR(IF(VLOOKUP(B886,Bibliotheques!$A$10:$B$59,2,FALSE)=0,"Nom manquant",VLOOKUP(B886,Bibliotheques!$A$10:$B$59,2,FALSE)),"Clé inconnue"))</f>
        <v/>
      </c>
      <c r="D886" s="6" t="s">
        <v>29</v>
      </c>
      <c r="E886" s="7" t="str">
        <f t="shared" si="13"/>
        <v/>
      </c>
      <c r="F886" s="6" t="s">
        <v>29</v>
      </c>
      <c r="G886" s="6" t="s">
        <v>29</v>
      </c>
      <c r="H886" s="8" t="str">
        <f>IF(A886="","",Bibliotheques!$B$5&amp;IF(RIGHT(Bibliotheques!$B$5,1)="/","","/")&amp;SUBSTITUTE(A886," ","%20"))</f>
        <v/>
      </c>
      <c r="I886" s="6" t="s">
        <v>29</v>
      </c>
      <c r="J886" s="6" t="s">
        <v>29</v>
      </c>
    </row>
    <row r="887" spans="1:10" ht="33.950000000000003" customHeight="1">
      <c r="A887" s="6" t="s">
        <v>29</v>
      </c>
      <c r="B887" s="6" t="s">
        <v>29</v>
      </c>
      <c r="C887" s="7" t="str">
        <f>IF(A887="","",IFERROR(IF(VLOOKUP(B887,Bibliotheques!$A$10:$B$59,2,FALSE)=0,"Nom manquant",VLOOKUP(B887,Bibliotheques!$A$10:$B$59,2,FALSE)),"Clé inconnue"))</f>
        <v/>
      </c>
      <c r="D887" s="6" t="s">
        <v>29</v>
      </c>
      <c r="E887" s="7" t="str">
        <f t="shared" si="13"/>
        <v/>
      </c>
      <c r="F887" s="6" t="s">
        <v>29</v>
      </c>
      <c r="G887" s="6" t="s">
        <v>29</v>
      </c>
      <c r="H887" s="8" t="str">
        <f>IF(A887="","",Bibliotheques!$B$5&amp;IF(RIGHT(Bibliotheques!$B$5,1)="/","","/")&amp;SUBSTITUTE(A887," ","%20"))</f>
        <v/>
      </c>
      <c r="I887" s="6" t="s">
        <v>29</v>
      </c>
      <c r="J887" s="6" t="s">
        <v>29</v>
      </c>
    </row>
    <row r="888" spans="1:10" ht="33.950000000000003" customHeight="1">
      <c r="A888" s="6" t="s">
        <v>29</v>
      </c>
      <c r="B888" s="6" t="s">
        <v>29</v>
      </c>
      <c r="C888" s="7" t="str">
        <f>IF(A888="","",IFERROR(IF(VLOOKUP(B888,Bibliotheques!$A$10:$B$59,2,FALSE)=0,"Nom manquant",VLOOKUP(B888,Bibliotheques!$A$10:$B$59,2,FALSE)),"Clé inconnue"))</f>
        <v/>
      </c>
      <c r="D888" s="6" t="s">
        <v>29</v>
      </c>
      <c r="E888" s="7" t="str">
        <f t="shared" si="13"/>
        <v/>
      </c>
      <c r="F888" s="6" t="s">
        <v>29</v>
      </c>
      <c r="G888" s="6" t="s">
        <v>29</v>
      </c>
      <c r="H888" s="8" t="str">
        <f>IF(A888="","",Bibliotheques!$B$5&amp;IF(RIGHT(Bibliotheques!$B$5,1)="/","","/")&amp;SUBSTITUTE(A888," ","%20"))</f>
        <v/>
      </c>
      <c r="I888" s="6" t="s">
        <v>29</v>
      </c>
      <c r="J888" s="6" t="s">
        <v>29</v>
      </c>
    </row>
    <row r="889" spans="1:10" ht="33.950000000000003" customHeight="1">
      <c r="A889" s="6" t="s">
        <v>29</v>
      </c>
      <c r="B889" s="6" t="s">
        <v>29</v>
      </c>
      <c r="C889" s="7" t="str">
        <f>IF(A889="","",IFERROR(IF(VLOOKUP(B889,Bibliotheques!$A$10:$B$59,2,FALSE)=0,"Nom manquant",VLOOKUP(B889,Bibliotheques!$A$10:$B$59,2,FALSE)),"Clé inconnue"))</f>
        <v/>
      </c>
      <c r="D889" s="6" t="s">
        <v>29</v>
      </c>
      <c r="E889" s="7" t="str">
        <f t="shared" si="13"/>
        <v/>
      </c>
      <c r="F889" s="6" t="s">
        <v>29</v>
      </c>
      <c r="G889" s="6" t="s">
        <v>29</v>
      </c>
      <c r="H889" s="8" t="str">
        <f>IF(A889="","",Bibliotheques!$B$5&amp;IF(RIGHT(Bibliotheques!$B$5,1)="/","","/")&amp;SUBSTITUTE(A889," ","%20"))</f>
        <v/>
      </c>
      <c r="I889" s="6" t="s">
        <v>29</v>
      </c>
      <c r="J889" s="6" t="s">
        <v>29</v>
      </c>
    </row>
    <row r="890" spans="1:10" ht="33.950000000000003" customHeight="1">
      <c r="A890" s="6" t="s">
        <v>29</v>
      </c>
      <c r="B890" s="6" t="s">
        <v>29</v>
      </c>
      <c r="C890" s="7" t="str">
        <f>IF(A890="","",IFERROR(IF(VLOOKUP(B890,Bibliotheques!$A$10:$B$59,2,FALSE)=0,"Nom manquant",VLOOKUP(B890,Bibliotheques!$A$10:$B$59,2,FALSE)),"Clé inconnue"))</f>
        <v/>
      </c>
      <c r="D890" s="6" t="s">
        <v>29</v>
      </c>
      <c r="E890" s="7" t="str">
        <f t="shared" si="13"/>
        <v/>
      </c>
      <c r="F890" s="6" t="s">
        <v>29</v>
      </c>
      <c r="G890" s="6" t="s">
        <v>29</v>
      </c>
      <c r="H890" s="8" t="str">
        <f>IF(A890="","",Bibliotheques!$B$5&amp;IF(RIGHT(Bibliotheques!$B$5,1)="/","","/")&amp;SUBSTITUTE(A890," ","%20"))</f>
        <v/>
      </c>
      <c r="I890" s="6" t="s">
        <v>29</v>
      </c>
      <c r="J890" s="6" t="s">
        <v>29</v>
      </c>
    </row>
    <row r="891" spans="1:10" ht="33.950000000000003" customHeight="1">
      <c r="A891" s="6" t="s">
        <v>29</v>
      </c>
      <c r="B891" s="6" t="s">
        <v>29</v>
      </c>
      <c r="C891" s="7" t="str">
        <f>IF(A891="","",IFERROR(IF(VLOOKUP(B891,Bibliotheques!$A$10:$B$59,2,FALSE)=0,"Nom manquant",VLOOKUP(B891,Bibliotheques!$A$10:$B$59,2,FALSE)),"Clé inconnue"))</f>
        <v/>
      </c>
      <c r="D891" s="6" t="s">
        <v>29</v>
      </c>
      <c r="E891" s="7" t="str">
        <f t="shared" si="13"/>
        <v/>
      </c>
      <c r="F891" s="6" t="s">
        <v>29</v>
      </c>
      <c r="G891" s="6" t="s">
        <v>29</v>
      </c>
      <c r="H891" s="8" t="str">
        <f>IF(A891="","",Bibliotheques!$B$5&amp;IF(RIGHT(Bibliotheques!$B$5,1)="/","","/")&amp;SUBSTITUTE(A891," ","%20"))</f>
        <v/>
      </c>
      <c r="I891" s="6" t="s">
        <v>29</v>
      </c>
      <c r="J891" s="6" t="s">
        <v>29</v>
      </c>
    </row>
    <row r="892" spans="1:10" ht="33.950000000000003" customHeight="1">
      <c r="A892" s="6" t="s">
        <v>29</v>
      </c>
      <c r="B892" s="6" t="s">
        <v>29</v>
      </c>
      <c r="C892" s="7" t="str">
        <f>IF(A892="","",IFERROR(IF(VLOOKUP(B892,Bibliotheques!$A$10:$B$59,2,FALSE)=0,"Nom manquant",VLOOKUP(B892,Bibliotheques!$A$10:$B$59,2,FALSE)),"Clé inconnue"))</f>
        <v/>
      </c>
      <c r="D892" s="6" t="s">
        <v>29</v>
      </c>
      <c r="E892" s="7" t="str">
        <f t="shared" si="13"/>
        <v/>
      </c>
      <c r="F892" s="6" t="s">
        <v>29</v>
      </c>
      <c r="G892" s="6" t="s">
        <v>29</v>
      </c>
      <c r="H892" s="8" t="str">
        <f>IF(A892="","",Bibliotheques!$B$5&amp;IF(RIGHT(Bibliotheques!$B$5,1)="/","","/")&amp;SUBSTITUTE(A892," ","%20"))</f>
        <v/>
      </c>
      <c r="I892" s="6" t="s">
        <v>29</v>
      </c>
      <c r="J892" s="6" t="s">
        <v>29</v>
      </c>
    </row>
    <row r="893" spans="1:10" ht="33.950000000000003" customHeight="1">
      <c r="A893" s="6" t="s">
        <v>29</v>
      </c>
      <c r="B893" s="6" t="s">
        <v>29</v>
      </c>
      <c r="C893" s="7" t="str">
        <f>IF(A893="","",IFERROR(IF(VLOOKUP(B893,Bibliotheques!$A$10:$B$59,2,FALSE)=0,"Nom manquant",VLOOKUP(B893,Bibliotheques!$A$10:$B$59,2,FALSE)),"Clé inconnue"))</f>
        <v/>
      </c>
      <c r="D893" s="6" t="s">
        <v>29</v>
      </c>
      <c r="E893" s="7" t="str">
        <f t="shared" si="13"/>
        <v/>
      </c>
      <c r="F893" s="6" t="s">
        <v>29</v>
      </c>
      <c r="G893" s="6" t="s">
        <v>29</v>
      </c>
      <c r="H893" s="8" t="str">
        <f>IF(A893="","",Bibliotheques!$B$5&amp;IF(RIGHT(Bibliotheques!$B$5,1)="/","","/")&amp;SUBSTITUTE(A893," ","%20"))</f>
        <v/>
      </c>
      <c r="I893" s="6" t="s">
        <v>29</v>
      </c>
      <c r="J893" s="6" t="s">
        <v>29</v>
      </c>
    </row>
    <row r="894" spans="1:10" ht="33.950000000000003" customHeight="1">
      <c r="A894" s="6" t="s">
        <v>29</v>
      </c>
      <c r="B894" s="6" t="s">
        <v>29</v>
      </c>
      <c r="C894" s="7" t="str">
        <f>IF(A894="","",IFERROR(IF(VLOOKUP(B894,Bibliotheques!$A$10:$B$59,2,FALSE)=0,"Nom manquant",VLOOKUP(B894,Bibliotheques!$A$10:$B$59,2,FALSE)),"Clé inconnue"))</f>
        <v/>
      </c>
      <c r="D894" s="6" t="s">
        <v>29</v>
      </c>
      <c r="E894" s="7" t="str">
        <f t="shared" si="13"/>
        <v/>
      </c>
      <c r="F894" s="6" t="s">
        <v>29</v>
      </c>
      <c r="G894" s="6" t="s">
        <v>29</v>
      </c>
      <c r="H894" s="8" t="str">
        <f>IF(A894="","",Bibliotheques!$B$5&amp;IF(RIGHT(Bibliotheques!$B$5,1)="/","","/")&amp;SUBSTITUTE(A894," ","%20"))</f>
        <v/>
      </c>
      <c r="I894" s="6" t="s">
        <v>29</v>
      </c>
      <c r="J894" s="6" t="s">
        <v>29</v>
      </c>
    </row>
    <row r="895" spans="1:10" ht="33.950000000000003" customHeight="1">
      <c r="A895" s="6" t="s">
        <v>29</v>
      </c>
      <c r="B895" s="6" t="s">
        <v>29</v>
      </c>
      <c r="C895" s="7" t="str">
        <f>IF(A895="","",IFERROR(IF(VLOOKUP(B895,Bibliotheques!$A$10:$B$59,2,FALSE)=0,"Nom manquant",VLOOKUP(B895,Bibliotheques!$A$10:$B$59,2,FALSE)),"Clé inconnue"))</f>
        <v/>
      </c>
      <c r="D895" s="6" t="s">
        <v>29</v>
      </c>
      <c r="E895" s="7" t="str">
        <f t="shared" si="13"/>
        <v/>
      </c>
      <c r="F895" s="6" t="s">
        <v>29</v>
      </c>
      <c r="G895" s="6" t="s">
        <v>29</v>
      </c>
      <c r="H895" s="8" t="str">
        <f>IF(A895="","",Bibliotheques!$B$5&amp;IF(RIGHT(Bibliotheques!$B$5,1)="/","","/")&amp;SUBSTITUTE(A895," ","%20"))</f>
        <v/>
      </c>
      <c r="I895" s="6" t="s">
        <v>29</v>
      </c>
      <c r="J895" s="6" t="s">
        <v>29</v>
      </c>
    </row>
    <row r="896" spans="1:10" ht="33.950000000000003" customHeight="1">
      <c r="A896" s="6" t="s">
        <v>29</v>
      </c>
      <c r="B896" s="6" t="s">
        <v>29</v>
      </c>
      <c r="C896" s="7" t="str">
        <f>IF(A896="","",IFERROR(IF(VLOOKUP(B896,Bibliotheques!$A$10:$B$59,2,FALSE)=0,"Nom manquant",VLOOKUP(B896,Bibliotheques!$A$10:$B$59,2,FALSE)),"Clé inconnue"))</f>
        <v/>
      </c>
      <c r="D896" s="6" t="s">
        <v>29</v>
      </c>
      <c r="E896" s="7" t="str">
        <f t="shared" si="13"/>
        <v/>
      </c>
      <c r="F896" s="6" t="s">
        <v>29</v>
      </c>
      <c r="G896" s="6" t="s">
        <v>29</v>
      </c>
      <c r="H896" s="8" t="str">
        <f>IF(A896="","",Bibliotheques!$B$5&amp;IF(RIGHT(Bibliotheques!$B$5,1)="/","","/")&amp;SUBSTITUTE(A896," ","%20"))</f>
        <v/>
      </c>
      <c r="I896" s="6" t="s">
        <v>29</v>
      </c>
      <c r="J896" s="6" t="s">
        <v>29</v>
      </c>
    </row>
    <row r="897" spans="1:10" ht="33.950000000000003" customHeight="1">
      <c r="A897" s="6" t="s">
        <v>29</v>
      </c>
      <c r="B897" s="6" t="s">
        <v>29</v>
      </c>
      <c r="C897" s="7" t="str">
        <f>IF(A897="","",IFERROR(IF(VLOOKUP(B897,Bibliotheques!$A$10:$B$59,2,FALSE)=0,"Nom manquant",VLOOKUP(B897,Bibliotheques!$A$10:$B$59,2,FALSE)),"Clé inconnue"))</f>
        <v/>
      </c>
      <c r="D897" s="6" t="s">
        <v>29</v>
      </c>
      <c r="E897" s="7" t="str">
        <f t="shared" si="13"/>
        <v/>
      </c>
      <c r="F897" s="6" t="s">
        <v>29</v>
      </c>
      <c r="G897" s="6" t="s">
        <v>29</v>
      </c>
      <c r="H897" s="8" t="str">
        <f>IF(A897="","",Bibliotheques!$B$5&amp;IF(RIGHT(Bibliotheques!$B$5,1)="/","","/")&amp;SUBSTITUTE(A897," ","%20"))</f>
        <v/>
      </c>
      <c r="I897" s="6" t="s">
        <v>29</v>
      </c>
      <c r="J897" s="6" t="s">
        <v>29</v>
      </c>
    </row>
    <row r="898" spans="1:10" ht="33.950000000000003" customHeight="1">
      <c r="A898" s="6" t="s">
        <v>29</v>
      </c>
      <c r="B898" s="6" t="s">
        <v>29</v>
      </c>
      <c r="C898" s="7" t="str">
        <f>IF(A898="","",IFERROR(IF(VLOOKUP(B898,Bibliotheques!$A$10:$B$59,2,FALSE)=0,"Nom manquant",VLOOKUP(B898,Bibliotheques!$A$10:$B$59,2,FALSE)),"Clé inconnue"))</f>
        <v/>
      </c>
      <c r="D898" s="6" t="s">
        <v>29</v>
      </c>
      <c r="E898" s="7" t="str">
        <f t="shared" si="13"/>
        <v/>
      </c>
      <c r="F898" s="6" t="s">
        <v>29</v>
      </c>
      <c r="G898" s="6" t="s">
        <v>29</v>
      </c>
      <c r="H898" s="8" t="str">
        <f>IF(A898="","",Bibliotheques!$B$5&amp;IF(RIGHT(Bibliotheques!$B$5,1)="/","","/")&amp;SUBSTITUTE(A898," ","%20"))</f>
        <v/>
      </c>
      <c r="I898" s="6" t="s">
        <v>29</v>
      </c>
      <c r="J898" s="6" t="s">
        <v>29</v>
      </c>
    </row>
    <row r="899" spans="1:10" ht="33.950000000000003" customHeight="1">
      <c r="A899" s="6" t="s">
        <v>29</v>
      </c>
      <c r="B899" s="6" t="s">
        <v>29</v>
      </c>
      <c r="C899" s="7" t="str">
        <f>IF(A899="","",IFERROR(IF(VLOOKUP(B899,Bibliotheques!$A$10:$B$59,2,FALSE)=0,"Nom manquant",VLOOKUP(B899,Bibliotheques!$A$10:$B$59,2,FALSE)),"Clé inconnue"))</f>
        <v/>
      </c>
      <c r="D899" s="6" t="s">
        <v>29</v>
      </c>
      <c r="E899" s="7" t="str">
        <f t="shared" si="13"/>
        <v/>
      </c>
      <c r="F899" s="6" t="s">
        <v>29</v>
      </c>
      <c r="G899" s="6" t="s">
        <v>29</v>
      </c>
      <c r="H899" s="8" t="str">
        <f>IF(A899="","",Bibliotheques!$B$5&amp;IF(RIGHT(Bibliotheques!$B$5,1)="/","","/")&amp;SUBSTITUTE(A899," ","%20"))</f>
        <v/>
      </c>
      <c r="I899" s="6" t="s">
        <v>29</v>
      </c>
      <c r="J899" s="6" t="s">
        <v>29</v>
      </c>
    </row>
    <row r="900" spans="1:10" ht="33.950000000000003" customHeight="1">
      <c r="A900" s="6" t="s">
        <v>29</v>
      </c>
      <c r="B900" s="6" t="s">
        <v>29</v>
      </c>
      <c r="C900" s="7" t="str">
        <f>IF(A900="","",IFERROR(IF(VLOOKUP(B900,Bibliotheques!$A$10:$B$59,2,FALSE)=0,"Nom manquant",VLOOKUP(B900,Bibliotheques!$A$10:$B$59,2,FALSE)),"Clé inconnue"))</f>
        <v/>
      </c>
      <c r="D900" s="6" t="s">
        <v>29</v>
      </c>
      <c r="E900" s="7" t="str">
        <f t="shared" si="13"/>
        <v/>
      </c>
      <c r="F900" s="6" t="s">
        <v>29</v>
      </c>
      <c r="G900" s="6" t="s">
        <v>29</v>
      </c>
      <c r="H900" s="8" t="str">
        <f>IF(A900="","",Bibliotheques!$B$5&amp;IF(RIGHT(Bibliotheques!$B$5,1)="/","","/")&amp;SUBSTITUTE(A900," ","%20"))</f>
        <v/>
      </c>
      <c r="I900" s="6" t="s">
        <v>29</v>
      </c>
      <c r="J900" s="6" t="s">
        <v>29</v>
      </c>
    </row>
    <row r="901" spans="1:10" ht="33.950000000000003" customHeight="1">
      <c r="A901" s="6" t="s">
        <v>29</v>
      </c>
      <c r="B901" s="6" t="s">
        <v>29</v>
      </c>
      <c r="C901" s="7" t="str">
        <f>IF(A901="","",IFERROR(IF(VLOOKUP(B901,Bibliotheques!$A$10:$B$59,2,FALSE)=0,"Nom manquant",VLOOKUP(B901,Bibliotheques!$A$10:$B$59,2,FALSE)),"Clé inconnue"))</f>
        <v/>
      </c>
      <c r="D901" s="6" t="s">
        <v>29</v>
      </c>
      <c r="E901" s="7" t="str">
        <f t="shared" si="13"/>
        <v/>
      </c>
      <c r="F901" s="6" t="s">
        <v>29</v>
      </c>
      <c r="G901" s="6" t="s">
        <v>29</v>
      </c>
      <c r="H901" s="8" t="str">
        <f>IF(A901="","",Bibliotheques!$B$5&amp;IF(RIGHT(Bibliotheques!$B$5,1)="/","","/")&amp;SUBSTITUTE(A901," ","%20"))</f>
        <v/>
      </c>
      <c r="I901" s="6" t="s">
        <v>29</v>
      </c>
      <c r="J901" s="6" t="s">
        <v>29</v>
      </c>
    </row>
    <row r="902" spans="1:10" ht="33.950000000000003" customHeight="1">
      <c r="A902" s="6" t="s">
        <v>29</v>
      </c>
      <c r="B902" s="6" t="s">
        <v>29</v>
      </c>
      <c r="C902" s="7" t="str">
        <f>IF(A902="","",IFERROR(IF(VLOOKUP(B902,Bibliotheques!$A$10:$B$59,2,FALSE)=0,"Nom manquant",VLOOKUP(B902,Bibliotheques!$A$10:$B$59,2,FALSE)),"Clé inconnue"))</f>
        <v/>
      </c>
      <c r="D902" s="6" t="s">
        <v>29</v>
      </c>
      <c r="E902" s="7" t="str">
        <f t="shared" ref="E902:E965" si="14">IF(A902="","",LOWER(B902&amp;"-"&amp;SUBSTITUTE(SUBSTITUTE(SUBSTITUTE(LOWER(A902),".svg","")," ","-"),"/","-")))</f>
        <v/>
      </c>
      <c r="F902" s="6" t="s">
        <v>29</v>
      </c>
      <c r="G902" s="6" t="s">
        <v>29</v>
      </c>
      <c r="H902" s="8" t="str">
        <f>IF(A902="","",Bibliotheques!$B$5&amp;IF(RIGHT(Bibliotheques!$B$5,1)="/","","/")&amp;SUBSTITUTE(A902," ","%20"))</f>
        <v/>
      </c>
      <c r="I902" s="6" t="s">
        <v>29</v>
      </c>
      <c r="J902" s="6" t="s">
        <v>29</v>
      </c>
    </row>
    <row r="903" spans="1:10" ht="33.950000000000003" customHeight="1">
      <c r="A903" s="6" t="s">
        <v>29</v>
      </c>
      <c r="B903" s="6" t="s">
        <v>29</v>
      </c>
      <c r="C903" s="7" t="str">
        <f>IF(A903="","",IFERROR(IF(VLOOKUP(B903,Bibliotheques!$A$10:$B$59,2,FALSE)=0,"Nom manquant",VLOOKUP(B903,Bibliotheques!$A$10:$B$59,2,FALSE)),"Clé inconnue"))</f>
        <v/>
      </c>
      <c r="D903" s="6" t="s">
        <v>29</v>
      </c>
      <c r="E903" s="7" t="str">
        <f t="shared" si="14"/>
        <v/>
      </c>
      <c r="F903" s="6" t="s">
        <v>29</v>
      </c>
      <c r="G903" s="6" t="s">
        <v>29</v>
      </c>
      <c r="H903" s="8" t="str">
        <f>IF(A903="","",Bibliotheques!$B$5&amp;IF(RIGHT(Bibliotheques!$B$5,1)="/","","/")&amp;SUBSTITUTE(A903," ","%20"))</f>
        <v/>
      </c>
      <c r="I903" s="6" t="s">
        <v>29</v>
      </c>
      <c r="J903" s="6" t="s">
        <v>29</v>
      </c>
    </row>
    <row r="904" spans="1:10" ht="33.950000000000003" customHeight="1">
      <c r="A904" s="6" t="s">
        <v>29</v>
      </c>
      <c r="B904" s="6" t="s">
        <v>29</v>
      </c>
      <c r="C904" s="7" t="str">
        <f>IF(A904="","",IFERROR(IF(VLOOKUP(B904,Bibliotheques!$A$10:$B$59,2,FALSE)=0,"Nom manquant",VLOOKUP(B904,Bibliotheques!$A$10:$B$59,2,FALSE)),"Clé inconnue"))</f>
        <v/>
      </c>
      <c r="D904" s="6" t="s">
        <v>29</v>
      </c>
      <c r="E904" s="7" t="str">
        <f t="shared" si="14"/>
        <v/>
      </c>
      <c r="F904" s="6" t="s">
        <v>29</v>
      </c>
      <c r="G904" s="6" t="s">
        <v>29</v>
      </c>
      <c r="H904" s="8" t="str">
        <f>IF(A904="","",Bibliotheques!$B$5&amp;IF(RIGHT(Bibliotheques!$B$5,1)="/","","/")&amp;SUBSTITUTE(A904," ","%20"))</f>
        <v/>
      </c>
      <c r="I904" s="6" t="s">
        <v>29</v>
      </c>
      <c r="J904" s="6" t="s">
        <v>29</v>
      </c>
    </row>
    <row r="905" spans="1:10" ht="33.950000000000003" customHeight="1">
      <c r="A905" s="6" t="s">
        <v>29</v>
      </c>
      <c r="B905" s="6" t="s">
        <v>29</v>
      </c>
      <c r="C905" s="7" t="str">
        <f>IF(A905="","",IFERROR(IF(VLOOKUP(B905,Bibliotheques!$A$10:$B$59,2,FALSE)=0,"Nom manquant",VLOOKUP(B905,Bibliotheques!$A$10:$B$59,2,FALSE)),"Clé inconnue"))</f>
        <v/>
      </c>
      <c r="D905" s="6" t="s">
        <v>29</v>
      </c>
      <c r="E905" s="7" t="str">
        <f t="shared" si="14"/>
        <v/>
      </c>
      <c r="F905" s="6" t="s">
        <v>29</v>
      </c>
      <c r="G905" s="6" t="s">
        <v>29</v>
      </c>
      <c r="H905" s="8" t="str">
        <f>IF(A905="","",Bibliotheques!$B$5&amp;IF(RIGHT(Bibliotheques!$B$5,1)="/","","/")&amp;SUBSTITUTE(A905," ","%20"))</f>
        <v/>
      </c>
      <c r="I905" s="6" t="s">
        <v>29</v>
      </c>
      <c r="J905" s="6" t="s">
        <v>29</v>
      </c>
    </row>
    <row r="906" spans="1:10" ht="33.950000000000003" customHeight="1">
      <c r="A906" s="6" t="s">
        <v>29</v>
      </c>
      <c r="B906" s="6" t="s">
        <v>29</v>
      </c>
      <c r="C906" s="7" t="str">
        <f>IF(A906="","",IFERROR(IF(VLOOKUP(B906,Bibliotheques!$A$10:$B$59,2,FALSE)=0,"Nom manquant",VLOOKUP(B906,Bibliotheques!$A$10:$B$59,2,FALSE)),"Clé inconnue"))</f>
        <v/>
      </c>
      <c r="D906" s="6" t="s">
        <v>29</v>
      </c>
      <c r="E906" s="7" t="str">
        <f t="shared" si="14"/>
        <v/>
      </c>
      <c r="F906" s="6" t="s">
        <v>29</v>
      </c>
      <c r="G906" s="6" t="s">
        <v>29</v>
      </c>
      <c r="H906" s="8" t="str">
        <f>IF(A906="","",Bibliotheques!$B$5&amp;IF(RIGHT(Bibliotheques!$B$5,1)="/","","/")&amp;SUBSTITUTE(A906," ","%20"))</f>
        <v/>
      </c>
      <c r="I906" s="6" t="s">
        <v>29</v>
      </c>
      <c r="J906" s="6" t="s">
        <v>29</v>
      </c>
    </row>
    <row r="907" spans="1:10" ht="33.950000000000003" customHeight="1">
      <c r="A907" s="6" t="s">
        <v>29</v>
      </c>
      <c r="B907" s="6" t="s">
        <v>29</v>
      </c>
      <c r="C907" s="7" t="str">
        <f>IF(A907="","",IFERROR(IF(VLOOKUP(B907,Bibliotheques!$A$10:$B$59,2,FALSE)=0,"Nom manquant",VLOOKUP(B907,Bibliotheques!$A$10:$B$59,2,FALSE)),"Clé inconnue"))</f>
        <v/>
      </c>
      <c r="D907" s="6" t="s">
        <v>29</v>
      </c>
      <c r="E907" s="7" t="str">
        <f t="shared" si="14"/>
        <v/>
      </c>
      <c r="F907" s="6" t="s">
        <v>29</v>
      </c>
      <c r="G907" s="6" t="s">
        <v>29</v>
      </c>
      <c r="H907" s="8" t="str">
        <f>IF(A907="","",Bibliotheques!$B$5&amp;IF(RIGHT(Bibliotheques!$B$5,1)="/","","/")&amp;SUBSTITUTE(A907," ","%20"))</f>
        <v/>
      </c>
      <c r="I907" s="6" t="s">
        <v>29</v>
      </c>
      <c r="J907" s="6" t="s">
        <v>29</v>
      </c>
    </row>
    <row r="908" spans="1:10" ht="33.950000000000003" customHeight="1">
      <c r="A908" s="6" t="s">
        <v>29</v>
      </c>
      <c r="B908" s="6" t="s">
        <v>29</v>
      </c>
      <c r="C908" s="7" t="str">
        <f>IF(A908="","",IFERROR(IF(VLOOKUP(B908,Bibliotheques!$A$10:$B$59,2,FALSE)=0,"Nom manquant",VLOOKUP(B908,Bibliotheques!$A$10:$B$59,2,FALSE)),"Clé inconnue"))</f>
        <v/>
      </c>
      <c r="D908" s="6" t="s">
        <v>29</v>
      </c>
      <c r="E908" s="7" t="str">
        <f t="shared" si="14"/>
        <v/>
      </c>
      <c r="F908" s="6" t="s">
        <v>29</v>
      </c>
      <c r="G908" s="6" t="s">
        <v>29</v>
      </c>
      <c r="H908" s="8" t="str">
        <f>IF(A908="","",Bibliotheques!$B$5&amp;IF(RIGHT(Bibliotheques!$B$5,1)="/","","/")&amp;SUBSTITUTE(A908," ","%20"))</f>
        <v/>
      </c>
      <c r="I908" s="6" t="s">
        <v>29</v>
      </c>
      <c r="J908" s="6" t="s">
        <v>29</v>
      </c>
    </row>
    <row r="909" spans="1:10" ht="33.950000000000003" customHeight="1">
      <c r="A909" s="6" t="s">
        <v>29</v>
      </c>
      <c r="B909" s="6" t="s">
        <v>29</v>
      </c>
      <c r="C909" s="7" t="str">
        <f>IF(A909="","",IFERROR(IF(VLOOKUP(B909,Bibliotheques!$A$10:$B$59,2,FALSE)=0,"Nom manquant",VLOOKUP(B909,Bibliotheques!$A$10:$B$59,2,FALSE)),"Clé inconnue"))</f>
        <v/>
      </c>
      <c r="D909" s="6" t="s">
        <v>29</v>
      </c>
      <c r="E909" s="7" t="str">
        <f t="shared" si="14"/>
        <v/>
      </c>
      <c r="F909" s="6" t="s">
        <v>29</v>
      </c>
      <c r="G909" s="6" t="s">
        <v>29</v>
      </c>
      <c r="H909" s="8" t="str">
        <f>IF(A909="","",Bibliotheques!$B$5&amp;IF(RIGHT(Bibliotheques!$B$5,1)="/","","/")&amp;SUBSTITUTE(A909," ","%20"))</f>
        <v/>
      </c>
      <c r="I909" s="6" t="s">
        <v>29</v>
      </c>
      <c r="J909" s="6" t="s">
        <v>29</v>
      </c>
    </row>
    <row r="910" spans="1:10" ht="33.950000000000003" customHeight="1">
      <c r="A910" s="6" t="s">
        <v>29</v>
      </c>
      <c r="B910" s="6" t="s">
        <v>29</v>
      </c>
      <c r="C910" s="7" t="str">
        <f>IF(A910="","",IFERROR(IF(VLOOKUP(B910,Bibliotheques!$A$10:$B$59,2,FALSE)=0,"Nom manquant",VLOOKUP(B910,Bibliotheques!$A$10:$B$59,2,FALSE)),"Clé inconnue"))</f>
        <v/>
      </c>
      <c r="D910" s="6" t="s">
        <v>29</v>
      </c>
      <c r="E910" s="7" t="str">
        <f t="shared" si="14"/>
        <v/>
      </c>
      <c r="F910" s="6" t="s">
        <v>29</v>
      </c>
      <c r="G910" s="6" t="s">
        <v>29</v>
      </c>
      <c r="H910" s="8" t="str">
        <f>IF(A910="","",Bibliotheques!$B$5&amp;IF(RIGHT(Bibliotheques!$B$5,1)="/","","/")&amp;SUBSTITUTE(A910," ","%20"))</f>
        <v/>
      </c>
      <c r="I910" s="6" t="s">
        <v>29</v>
      </c>
      <c r="J910" s="6" t="s">
        <v>29</v>
      </c>
    </row>
    <row r="911" spans="1:10" ht="33.950000000000003" customHeight="1">
      <c r="A911" s="6" t="s">
        <v>29</v>
      </c>
      <c r="B911" s="6" t="s">
        <v>29</v>
      </c>
      <c r="C911" s="7" t="str">
        <f>IF(A911="","",IFERROR(IF(VLOOKUP(B911,Bibliotheques!$A$10:$B$59,2,FALSE)=0,"Nom manquant",VLOOKUP(B911,Bibliotheques!$A$10:$B$59,2,FALSE)),"Clé inconnue"))</f>
        <v/>
      </c>
      <c r="D911" s="6" t="s">
        <v>29</v>
      </c>
      <c r="E911" s="7" t="str">
        <f t="shared" si="14"/>
        <v/>
      </c>
      <c r="F911" s="6" t="s">
        <v>29</v>
      </c>
      <c r="G911" s="6" t="s">
        <v>29</v>
      </c>
      <c r="H911" s="8" t="str">
        <f>IF(A911="","",Bibliotheques!$B$5&amp;IF(RIGHT(Bibliotheques!$B$5,1)="/","","/")&amp;SUBSTITUTE(A911," ","%20"))</f>
        <v/>
      </c>
      <c r="I911" s="6" t="s">
        <v>29</v>
      </c>
      <c r="J911" s="6" t="s">
        <v>29</v>
      </c>
    </row>
    <row r="912" spans="1:10" ht="33.950000000000003" customHeight="1">
      <c r="A912" s="6" t="s">
        <v>29</v>
      </c>
      <c r="B912" s="6" t="s">
        <v>29</v>
      </c>
      <c r="C912" s="7" t="str">
        <f>IF(A912="","",IFERROR(IF(VLOOKUP(B912,Bibliotheques!$A$10:$B$59,2,FALSE)=0,"Nom manquant",VLOOKUP(B912,Bibliotheques!$A$10:$B$59,2,FALSE)),"Clé inconnue"))</f>
        <v/>
      </c>
      <c r="D912" s="6" t="s">
        <v>29</v>
      </c>
      <c r="E912" s="7" t="str">
        <f t="shared" si="14"/>
        <v/>
      </c>
      <c r="F912" s="6" t="s">
        <v>29</v>
      </c>
      <c r="G912" s="6" t="s">
        <v>29</v>
      </c>
      <c r="H912" s="8" t="str">
        <f>IF(A912="","",Bibliotheques!$B$5&amp;IF(RIGHT(Bibliotheques!$B$5,1)="/","","/")&amp;SUBSTITUTE(A912," ","%20"))</f>
        <v/>
      </c>
      <c r="I912" s="6" t="s">
        <v>29</v>
      </c>
      <c r="J912" s="6" t="s">
        <v>29</v>
      </c>
    </row>
    <row r="913" spans="1:10" ht="33.950000000000003" customHeight="1">
      <c r="A913" s="6" t="s">
        <v>29</v>
      </c>
      <c r="B913" s="6" t="s">
        <v>29</v>
      </c>
      <c r="C913" s="7" t="str">
        <f>IF(A913="","",IFERROR(IF(VLOOKUP(B913,Bibliotheques!$A$10:$B$59,2,FALSE)=0,"Nom manquant",VLOOKUP(B913,Bibliotheques!$A$10:$B$59,2,FALSE)),"Clé inconnue"))</f>
        <v/>
      </c>
      <c r="D913" s="6" t="s">
        <v>29</v>
      </c>
      <c r="E913" s="7" t="str">
        <f t="shared" si="14"/>
        <v/>
      </c>
      <c r="F913" s="6" t="s">
        <v>29</v>
      </c>
      <c r="G913" s="6" t="s">
        <v>29</v>
      </c>
      <c r="H913" s="8" t="str">
        <f>IF(A913="","",Bibliotheques!$B$5&amp;IF(RIGHT(Bibliotheques!$B$5,1)="/","","/")&amp;SUBSTITUTE(A913," ","%20"))</f>
        <v/>
      </c>
      <c r="I913" s="6" t="s">
        <v>29</v>
      </c>
      <c r="J913" s="6" t="s">
        <v>29</v>
      </c>
    </row>
    <row r="914" spans="1:10" ht="33.950000000000003" customHeight="1">
      <c r="A914" s="6" t="s">
        <v>29</v>
      </c>
      <c r="B914" s="6" t="s">
        <v>29</v>
      </c>
      <c r="C914" s="7" t="str">
        <f>IF(A914="","",IFERROR(IF(VLOOKUP(B914,Bibliotheques!$A$10:$B$59,2,FALSE)=0,"Nom manquant",VLOOKUP(B914,Bibliotheques!$A$10:$B$59,2,FALSE)),"Clé inconnue"))</f>
        <v/>
      </c>
      <c r="D914" s="6" t="s">
        <v>29</v>
      </c>
      <c r="E914" s="7" t="str">
        <f t="shared" si="14"/>
        <v/>
      </c>
      <c r="F914" s="6" t="s">
        <v>29</v>
      </c>
      <c r="G914" s="6" t="s">
        <v>29</v>
      </c>
      <c r="H914" s="8" t="str">
        <f>IF(A914="","",Bibliotheques!$B$5&amp;IF(RIGHT(Bibliotheques!$B$5,1)="/","","/")&amp;SUBSTITUTE(A914," ","%20"))</f>
        <v/>
      </c>
      <c r="I914" s="6" t="s">
        <v>29</v>
      </c>
      <c r="J914" s="6" t="s">
        <v>29</v>
      </c>
    </row>
    <row r="915" spans="1:10" ht="33.950000000000003" customHeight="1">
      <c r="A915" s="6" t="s">
        <v>29</v>
      </c>
      <c r="B915" s="6" t="s">
        <v>29</v>
      </c>
      <c r="C915" s="7" t="str">
        <f>IF(A915="","",IFERROR(IF(VLOOKUP(B915,Bibliotheques!$A$10:$B$59,2,FALSE)=0,"Nom manquant",VLOOKUP(B915,Bibliotheques!$A$10:$B$59,2,FALSE)),"Clé inconnue"))</f>
        <v/>
      </c>
      <c r="D915" s="6" t="s">
        <v>29</v>
      </c>
      <c r="E915" s="7" t="str">
        <f t="shared" si="14"/>
        <v/>
      </c>
      <c r="F915" s="6" t="s">
        <v>29</v>
      </c>
      <c r="G915" s="6" t="s">
        <v>29</v>
      </c>
      <c r="H915" s="8" t="str">
        <f>IF(A915="","",Bibliotheques!$B$5&amp;IF(RIGHT(Bibliotheques!$B$5,1)="/","","/")&amp;SUBSTITUTE(A915," ","%20"))</f>
        <v/>
      </c>
      <c r="I915" s="6" t="s">
        <v>29</v>
      </c>
      <c r="J915" s="6" t="s">
        <v>29</v>
      </c>
    </row>
    <row r="916" spans="1:10" ht="33.950000000000003" customHeight="1">
      <c r="A916" s="6" t="s">
        <v>29</v>
      </c>
      <c r="B916" s="6" t="s">
        <v>29</v>
      </c>
      <c r="C916" s="7" t="str">
        <f>IF(A916="","",IFERROR(IF(VLOOKUP(B916,Bibliotheques!$A$10:$B$59,2,FALSE)=0,"Nom manquant",VLOOKUP(B916,Bibliotheques!$A$10:$B$59,2,FALSE)),"Clé inconnue"))</f>
        <v/>
      </c>
      <c r="D916" s="6" t="s">
        <v>29</v>
      </c>
      <c r="E916" s="7" t="str">
        <f t="shared" si="14"/>
        <v/>
      </c>
      <c r="F916" s="6" t="s">
        <v>29</v>
      </c>
      <c r="G916" s="6" t="s">
        <v>29</v>
      </c>
      <c r="H916" s="8" t="str">
        <f>IF(A916="","",Bibliotheques!$B$5&amp;IF(RIGHT(Bibliotheques!$B$5,1)="/","","/")&amp;SUBSTITUTE(A916," ","%20"))</f>
        <v/>
      </c>
      <c r="I916" s="6" t="s">
        <v>29</v>
      </c>
      <c r="J916" s="6" t="s">
        <v>29</v>
      </c>
    </row>
    <row r="917" spans="1:10" ht="33.950000000000003" customHeight="1">
      <c r="A917" s="6" t="s">
        <v>29</v>
      </c>
      <c r="B917" s="6" t="s">
        <v>29</v>
      </c>
      <c r="C917" s="7" t="str">
        <f>IF(A917="","",IFERROR(IF(VLOOKUP(B917,Bibliotheques!$A$10:$B$59,2,FALSE)=0,"Nom manquant",VLOOKUP(B917,Bibliotheques!$A$10:$B$59,2,FALSE)),"Clé inconnue"))</f>
        <v/>
      </c>
      <c r="D917" s="6" t="s">
        <v>29</v>
      </c>
      <c r="E917" s="7" t="str">
        <f t="shared" si="14"/>
        <v/>
      </c>
      <c r="F917" s="6" t="s">
        <v>29</v>
      </c>
      <c r="G917" s="6" t="s">
        <v>29</v>
      </c>
      <c r="H917" s="8" t="str">
        <f>IF(A917="","",Bibliotheques!$B$5&amp;IF(RIGHT(Bibliotheques!$B$5,1)="/","","/")&amp;SUBSTITUTE(A917," ","%20"))</f>
        <v/>
      </c>
      <c r="I917" s="6" t="s">
        <v>29</v>
      </c>
      <c r="J917" s="6" t="s">
        <v>29</v>
      </c>
    </row>
    <row r="918" spans="1:10" ht="33.950000000000003" customHeight="1">
      <c r="A918" s="6" t="s">
        <v>29</v>
      </c>
      <c r="B918" s="6" t="s">
        <v>29</v>
      </c>
      <c r="C918" s="7" t="str">
        <f>IF(A918="","",IFERROR(IF(VLOOKUP(B918,Bibliotheques!$A$10:$B$59,2,FALSE)=0,"Nom manquant",VLOOKUP(B918,Bibliotheques!$A$10:$B$59,2,FALSE)),"Clé inconnue"))</f>
        <v/>
      </c>
      <c r="D918" s="6" t="s">
        <v>29</v>
      </c>
      <c r="E918" s="7" t="str">
        <f t="shared" si="14"/>
        <v/>
      </c>
      <c r="F918" s="6" t="s">
        <v>29</v>
      </c>
      <c r="G918" s="6" t="s">
        <v>29</v>
      </c>
      <c r="H918" s="8" t="str">
        <f>IF(A918="","",Bibliotheques!$B$5&amp;IF(RIGHT(Bibliotheques!$B$5,1)="/","","/")&amp;SUBSTITUTE(A918," ","%20"))</f>
        <v/>
      </c>
      <c r="I918" s="6" t="s">
        <v>29</v>
      </c>
      <c r="J918" s="6" t="s">
        <v>29</v>
      </c>
    </row>
    <row r="919" spans="1:10" ht="33.950000000000003" customHeight="1">
      <c r="A919" s="6" t="s">
        <v>29</v>
      </c>
      <c r="B919" s="6" t="s">
        <v>29</v>
      </c>
      <c r="C919" s="7" t="str">
        <f>IF(A919="","",IFERROR(IF(VLOOKUP(B919,Bibliotheques!$A$10:$B$59,2,FALSE)=0,"Nom manquant",VLOOKUP(B919,Bibliotheques!$A$10:$B$59,2,FALSE)),"Clé inconnue"))</f>
        <v/>
      </c>
      <c r="D919" s="6" t="s">
        <v>29</v>
      </c>
      <c r="E919" s="7" t="str">
        <f t="shared" si="14"/>
        <v/>
      </c>
      <c r="F919" s="6" t="s">
        <v>29</v>
      </c>
      <c r="G919" s="6" t="s">
        <v>29</v>
      </c>
      <c r="H919" s="8" t="str">
        <f>IF(A919="","",Bibliotheques!$B$5&amp;IF(RIGHT(Bibliotheques!$B$5,1)="/","","/")&amp;SUBSTITUTE(A919," ","%20"))</f>
        <v/>
      </c>
      <c r="I919" s="6" t="s">
        <v>29</v>
      </c>
      <c r="J919" s="6" t="s">
        <v>29</v>
      </c>
    </row>
    <row r="920" spans="1:10" ht="33.950000000000003" customHeight="1">
      <c r="A920" s="6" t="s">
        <v>29</v>
      </c>
      <c r="B920" s="6" t="s">
        <v>29</v>
      </c>
      <c r="C920" s="7" t="str">
        <f>IF(A920="","",IFERROR(IF(VLOOKUP(B920,Bibliotheques!$A$10:$B$59,2,FALSE)=0,"Nom manquant",VLOOKUP(B920,Bibliotheques!$A$10:$B$59,2,FALSE)),"Clé inconnue"))</f>
        <v/>
      </c>
      <c r="D920" s="6" t="s">
        <v>29</v>
      </c>
      <c r="E920" s="7" t="str">
        <f t="shared" si="14"/>
        <v/>
      </c>
      <c r="F920" s="6" t="s">
        <v>29</v>
      </c>
      <c r="G920" s="6" t="s">
        <v>29</v>
      </c>
      <c r="H920" s="8" t="str">
        <f>IF(A920="","",Bibliotheques!$B$5&amp;IF(RIGHT(Bibliotheques!$B$5,1)="/","","/")&amp;SUBSTITUTE(A920," ","%20"))</f>
        <v/>
      </c>
      <c r="I920" s="6" t="s">
        <v>29</v>
      </c>
      <c r="J920" s="6" t="s">
        <v>29</v>
      </c>
    </row>
    <row r="921" spans="1:10" ht="33.950000000000003" customHeight="1">
      <c r="A921" s="6" t="s">
        <v>29</v>
      </c>
      <c r="B921" s="6" t="s">
        <v>29</v>
      </c>
      <c r="C921" s="7" t="str">
        <f>IF(A921="","",IFERROR(IF(VLOOKUP(B921,Bibliotheques!$A$10:$B$59,2,FALSE)=0,"Nom manquant",VLOOKUP(B921,Bibliotheques!$A$10:$B$59,2,FALSE)),"Clé inconnue"))</f>
        <v/>
      </c>
      <c r="D921" s="6" t="s">
        <v>29</v>
      </c>
      <c r="E921" s="7" t="str">
        <f t="shared" si="14"/>
        <v/>
      </c>
      <c r="F921" s="6" t="s">
        <v>29</v>
      </c>
      <c r="G921" s="6" t="s">
        <v>29</v>
      </c>
      <c r="H921" s="8" t="str">
        <f>IF(A921="","",Bibliotheques!$B$5&amp;IF(RIGHT(Bibliotheques!$B$5,1)="/","","/")&amp;SUBSTITUTE(A921," ","%20"))</f>
        <v/>
      </c>
      <c r="I921" s="6" t="s">
        <v>29</v>
      </c>
      <c r="J921" s="6" t="s">
        <v>29</v>
      </c>
    </row>
    <row r="922" spans="1:10" ht="33.950000000000003" customHeight="1">
      <c r="A922" s="6" t="s">
        <v>29</v>
      </c>
      <c r="B922" s="6" t="s">
        <v>29</v>
      </c>
      <c r="C922" s="7" t="str">
        <f>IF(A922="","",IFERROR(IF(VLOOKUP(B922,Bibliotheques!$A$10:$B$59,2,FALSE)=0,"Nom manquant",VLOOKUP(B922,Bibliotheques!$A$10:$B$59,2,FALSE)),"Clé inconnue"))</f>
        <v/>
      </c>
      <c r="D922" s="6" t="s">
        <v>29</v>
      </c>
      <c r="E922" s="7" t="str">
        <f t="shared" si="14"/>
        <v/>
      </c>
      <c r="F922" s="6" t="s">
        <v>29</v>
      </c>
      <c r="G922" s="6" t="s">
        <v>29</v>
      </c>
      <c r="H922" s="8" t="str">
        <f>IF(A922="","",Bibliotheques!$B$5&amp;IF(RIGHT(Bibliotheques!$B$5,1)="/","","/")&amp;SUBSTITUTE(A922," ","%20"))</f>
        <v/>
      </c>
      <c r="I922" s="6" t="s">
        <v>29</v>
      </c>
      <c r="J922" s="6" t="s">
        <v>29</v>
      </c>
    </row>
    <row r="923" spans="1:10" ht="33.950000000000003" customHeight="1">
      <c r="A923" s="6" t="s">
        <v>29</v>
      </c>
      <c r="B923" s="6" t="s">
        <v>29</v>
      </c>
      <c r="C923" s="7" t="str">
        <f>IF(A923="","",IFERROR(IF(VLOOKUP(B923,Bibliotheques!$A$10:$B$59,2,FALSE)=0,"Nom manquant",VLOOKUP(B923,Bibliotheques!$A$10:$B$59,2,FALSE)),"Clé inconnue"))</f>
        <v/>
      </c>
      <c r="D923" s="6" t="s">
        <v>29</v>
      </c>
      <c r="E923" s="7" t="str">
        <f t="shared" si="14"/>
        <v/>
      </c>
      <c r="F923" s="6" t="s">
        <v>29</v>
      </c>
      <c r="G923" s="6" t="s">
        <v>29</v>
      </c>
      <c r="H923" s="8" t="str">
        <f>IF(A923="","",Bibliotheques!$B$5&amp;IF(RIGHT(Bibliotheques!$B$5,1)="/","","/")&amp;SUBSTITUTE(A923," ","%20"))</f>
        <v/>
      </c>
      <c r="I923" s="6" t="s">
        <v>29</v>
      </c>
      <c r="J923" s="6" t="s">
        <v>29</v>
      </c>
    </row>
    <row r="924" spans="1:10" ht="33.950000000000003" customHeight="1">
      <c r="A924" s="6" t="s">
        <v>29</v>
      </c>
      <c r="B924" s="6" t="s">
        <v>29</v>
      </c>
      <c r="C924" s="7" t="str">
        <f>IF(A924="","",IFERROR(IF(VLOOKUP(B924,Bibliotheques!$A$10:$B$59,2,FALSE)=0,"Nom manquant",VLOOKUP(B924,Bibliotheques!$A$10:$B$59,2,FALSE)),"Clé inconnue"))</f>
        <v/>
      </c>
      <c r="D924" s="6" t="s">
        <v>29</v>
      </c>
      <c r="E924" s="7" t="str">
        <f t="shared" si="14"/>
        <v/>
      </c>
      <c r="F924" s="6" t="s">
        <v>29</v>
      </c>
      <c r="G924" s="6" t="s">
        <v>29</v>
      </c>
      <c r="H924" s="8" t="str">
        <f>IF(A924="","",Bibliotheques!$B$5&amp;IF(RIGHT(Bibliotheques!$B$5,1)="/","","/")&amp;SUBSTITUTE(A924," ","%20"))</f>
        <v/>
      </c>
      <c r="I924" s="6" t="s">
        <v>29</v>
      </c>
      <c r="J924" s="6" t="s">
        <v>29</v>
      </c>
    </row>
    <row r="925" spans="1:10" ht="33.950000000000003" customHeight="1">
      <c r="A925" s="6" t="s">
        <v>29</v>
      </c>
      <c r="B925" s="6" t="s">
        <v>29</v>
      </c>
      <c r="C925" s="7" t="str">
        <f>IF(A925="","",IFERROR(IF(VLOOKUP(B925,Bibliotheques!$A$10:$B$59,2,FALSE)=0,"Nom manquant",VLOOKUP(B925,Bibliotheques!$A$10:$B$59,2,FALSE)),"Clé inconnue"))</f>
        <v/>
      </c>
      <c r="D925" s="6" t="s">
        <v>29</v>
      </c>
      <c r="E925" s="7" t="str">
        <f t="shared" si="14"/>
        <v/>
      </c>
      <c r="F925" s="6" t="s">
        <v>29</v>
      </c>
      <c r="G925" s="6" t="s">
        <v>29</v>
      </c>
      <c r="H925" s="8" t="str">
        <f>IF(A925="","",Bibliotheques!$B$5&amp;IF(RIGHT(Bibliotheques!$B$5,1)="/","","/")&amp;SUBSTITUTE(A925," ","%20"))</f>
        <v/>
      </c>
      <c r="I925" s="6" t="s">
        <v>29</v>
      </c>
      <c r="J925" s="6" t="s">
        <v>29</v>
      </c>
    </row>
    <row r="926" spans="1:10" ht="33.950000000000003" customHeight="1">
      <c r="A926" s="6" t="s">
        <v>29</v>
      </c>
      <c r="B926" s="6" t="s">
        <v>29</v>
      </c>
      <c r="C926" s="7" t="str">
        <f>IF(A926="","",IFERROR(IF(VLOOKUP(B926,Bibliotheques!$A$10:$B$59,2,FALSE)=0,"Nom manquant",VLOOKUP(B926,Bibliotheques!$A$10:$B$59,2,FALSE)),"Clé inconnue"))</f>
        <v/>
      </c>
      <c r="D926" s="6" t="s">
        <v>29</v>
      </c>
      <c r="E926" s="7" t="str">
        <f t="shared" si="14"/>
        <v/>
      </c>
      <c r="F926" s="6" t="s">
        <v>29</v>
      </c>
      <c r="G926" s="6" t="s">
        <v>29</v>
      </c>
      <c r="H926" s="8" t="str">
        <f>IF(A926="","",Bibliotheques!$B$5&amp;IF(RIGHT(Bibliotheques!$B$5,1)="/","","/")&amp;SUBSTITUTE(A926," ","%20"))</f>
        <v/>
      </c>
      <c r="I926" s="6" t="s">
        <v>29</v>
      </c>
      <c r="J926" s="6" t="s">
        <v>29</v>
      </c>
    </row>
    <row r="927" spans="1:10" ht="33.950000000000003" customHeight="1">
      <c r="A927" s="6" t="s">
        <v>29</v>
      </c>
      <c r="B927" s="6" t="s">
        <v>29</v>
      </c>
      <c r="C927" s="7" t="str">
        <f>IF(A927="","",IFERROR(IF(VLOOKUP(B927,Bibliotheques!$A$10:$B$59,2,FALSE)=0,"Nom manquant",VLOOKUP(B927,Bibliotheques!$A$10:$B$59,2,FALSE)),"Clé inconnue"))</f>
        <v/>
      </c>
      <c r="D927" s="6" t="s">
        <v>29</v>
      </c>
      <c r="E927" s="7" t="str">
        <f t="shared" si="14"/>
        <v/>
      </c>
      <c r="F927" s="6" t="s">
        <v>29</v>
      </c>
      <c r="G927" s="6" t="s">
        <v>29</v>
      </c>
      <c r="H927" s="8" t="str">
        <f>IF(A927="","",Bibliotheques!$B$5&amp;IF(RIGHT(Bibliotheques!$B$5,1)="/","","/")&amp;SUBSTITUTE(A927," ","%20"))</f>
        <v/>
      </c>
      <c r="I927" s="6" t="s">
        <v>29</v>
      </c>
      <c r="J927" s="6" t="s">
        <v>29</v>
      </c>
    </row>
    <row r="928" spans="1:10" ht="33.950000000000003" customHeight="1">
      <c r="A928" s="6" t="s">
        <v>29</v>
      </c>
      <c r="B928" s="6" t="s">
        <v>29</v>
      </c>
      <c r="C928" s="7" t="str">
        <f>IF(A928="","",IFERROR(IF(VLOOKUP(B928,Bibliotheques!$A$10:$B$59,2,FALSE)=0,"Nom manquant",VLOOKUP(B928,Bibliotheques!$A$10:$B$59,2,FALSE)),"Clé inconnue"))</f>
        <v/>
      </c>
      <c r="D928" s="6" t="s">
        <v>29</v>
      </c>
      <c r="E928" s="7" t="str">
        <f t="shared" si="14"/>
        <v/>
      </c>
      <c r="F928" s="6" t="s">
        <v>29</v>
      </c>
      <c r="G928" s="6" t="s">
        <v>29</v>
      </c>
      <c r="H928" s="8" t="str">
        <f>IF(A928="","",Bibliotheques!$B$5&amp;IF(RIGHT(Bibliotheques!$B$5,1)="/","","/")&amp;SUBSTITUTE(A928," ","%20"))</f>
        <v/>
      </c>
      <c r="I928" s="6" t="s">
        <v>29</v>
      </c>
      <c r="J928" s="6" t="s">
        <v>29</v>
      </c>
    </row>
    <row r="929" spans="1:10" ht="33.950000000000003" customHeight="1">
      <c r="A929" s="6" t="s">
        <v>29</v>
      </c>
      <c r="B929" s="6" t="s">
        <v>29</v>
      </c>
      <c r="C929" s="7" t="str">
        <f>IF(A929="","",IFERROR(IF(VLOOKUP(B929,Bibliotheques!$A$10:$B$59,2,FALSE)=0,"Nom manquant",VLOOKUP(B929,Bibliotheques!$A$10:$B$59,2,FALSE)),"Clé inconnue"))</f>
        <v/>
      </c>
      <c r="D929" s="6" t="s">
        <v>29</v>
      </c>
      <c r="E929" s="7" t="str">
        <f t="shared" si="14"/>
        <v/>
      </c>
      <c r="F929" s="6" t="s">
        <v>29</v>
      </c>
      <c r="G929" s="6" t="s">
        <v>29</v>
      </c>
      <c r="H929" s="8" t="str">
        <f>IF(A929="","",Bibliotheques!$B$5&amp;IF(RIGHT(Bibliotheques!$B$5,1)="/","","/")&amp;SUBSTITUTE(A929," ","%20"))</f>
        <v/>
      </c>
      <c r="I929" s="6" t="s">
        <v>29</v>
      </c>
      <c r="J929" s="6" t="s">
        <v>29</v>
      </c>
    </row>
    <row r="930" spans="1:10" ht="33.950000000000003" customHeight="1">
      <c r="A930" s="6" t="s">
        <v>29</v>
      </c>
      <c r="B930" s="6" t="s">
        <v>29</v>
      </c>
      <c r="C930" s="7" t="str">
        <f>IF(A930="","",IFERROR(IF(VLOOKUP(B930,Bibliotheques!$A$10:$B$59,2,FALSE)=0,"Nom manquant",VLOOKUP(B930,Bibliotheques!$A$10:$B$59,2,FALSE)),"Clé inconnue"))</f>
        <v/>
      </c>
      <c r="D930" s="6" t="s">
        <v>29</v>
      </c>
      <c r="E930" s="7" t="str">
        <f t="shared" si="14"/>
        <v/>
      </c>
      <c r="F930" s="6" t="s">
        <v>29</v>
      </c>
      <c r="G930" s="6" t="s">
        <v>29</v>
      </c>
      <c r="H930" s="8" t="str">
        <f>IF(A930="","",Bibliotheques!$B$5&amp;IF(RIGHT(Bibliotheques!$B$5,1)="/","","/")&amp;SUBSTITUTE(A930," ","%20"))</f>
        <v/>
      </c>
      <c r="I930" s="6" t="s">
        <v>29</v>
      </c>
      <c r="J930" s="6" t="s">
        <v>29</v>
      </c>
    </row>
    <row r="931" spans="1:10" ht="33.950000000000003" customHeight="1">
      <c r="A931" s="6" t="s">
        <v>29</v>
      </c>
      <c r="B931" s="6" t="s">
        <v>29</v>
      </c>
      <c r="C931" s="7" t="str">
        <f>IF(A931="","",IFERROR(IF(VLOOKUP(B931,Bibliotheques!$A$10:$B$59,2,FALSE)=0,"Nom manquant",VLOOKUP(B931,Bibliotheques!$A$10:$B$59,2,FALSE)),"Clé inconnue"))</f>
        <v/>
      </c>
      <c r="D931" s="6" t="s">
        <v>29</v>
      </c>
      <c r="E931" s="7" t="str">
        <f t="shared" si="14"/>
        <v/>
      </c>
      <c r="F931" s="6" t="s">
        <v>29</v>
      </c>
      <c r="G931" s="6" t="s">
        <v>29</v>
      </c>
      <c r="H931" s="8" t="str">
        <f>IF(A931="","",Bibliotheques!$B$5&amp;IF(RIGHT(Bibliotheques!$B$5,1)="/","","/")&amp;SUBSTITUTE(A931," ","%20"))</f>
        <v/>
      </c>
      <c r="I931" s="6" t="s">
        <v>29</v>
      </c>
      <c r="J931" s="6" t="s">
        <v>29</v>
      </c>
    </row>
    <row r="932" spans="1:10" ht="33.950000000000003" customHeight="1">
      <c r="A932" s="6" t="s">
        <v>29</v>
      </c>
      <c r="B932" s="6" t="s">
        <v>29</v>
      </c>
      <c r="C932" s="7" t="str">
        <f>IF(A932="","",IFERROR(IF(VLOOKUP(B932,Bibliotheques!$A$10:$B$59,2,FALSE)=0,"Nom manquant",VLOOKUP(B932,Bibliotheques!$A$10:$B$59,2,FALSE)),"Clé inconnue"))</f>
        <v/>
      </c>
      <c r="D932" s="6" t="s">
        <v>29</v>
      </c>
      <c r="E932" s="7" t="str">
        <f t="shared" si="14"/>
        <v/>
      </c>
      <c r="F932" s="6" t="s">
        <v>29</v>
      </c>
      <c r="G932" s="6" t="s">
        <v>29</v>
      </c>
      <c r="H932" s="8" t="str">
        <f>IF(A932="","",Bibliotheques!$B$5&amp;IF(RIGHT(Bibliotheques!$B$5,1)="/","","/")&amp;SUBSTITUTE(A932," ","%20"))</f>
        <v/>
      </c>
      <c r="I932" s="6" t="s">
        <v>29</v>
      </c>
      <c r="J932" s="6" t="s">
        <v>29</v>
      </c>
    </row>
    <row r="933" spans="1:10" ht="33.950000000000003" customHeight="1">
      <c r="A933" s="6" t="s">
        <v>29</v>
      </c>
      <c r="B933" s="6" t="s">
        <v>29</v>
      </c>
      <c r="C933" s="7" t="str">
        <f>IF(A933="","",IFERROR(IF(VLOOKUP(B933,Bibliotheques!$A$10:$B$59,2,FALSE)=0,"Nom manquant",VLOOKUP(B933,Bibliotheques!$A$10:$B$59,2,FALSE)),"Clé inconnue"))</f>
        <v/>
      </c>
      <c r="D933" s="6" t="s">
        <v>29</v>
      </c>
      <c r="E933" s="7" t="str">
        <f t="shared" si="14"/>
        <v/>
      </c>
      <c r="F933" s="6" t="s">
        <v>29</v>
      </c>
      <c r="G933" s="6" t="s">
        <v>29</v>
      </c>
      <c r="H933" s="8" t="str">
        <f>IF(A933="","",Bibliotheques!$B$5&amp;IF(RIGHT(Bibliotheques!$B$5,1)="/","","/")&amp;SUBSTITUTE(A933," ","%20"))</f>
        <v/>
      </c>
      <c r="I933" s="6" t="s">
        <v>29</v>
      </c>
      <c r="J933" s="6" t="s">
        <v>29</v>
      </c>
    </row>
    <row r="934" spans="1:10" ht="33.950000000000003" customHeight="1">
      <c r="A934" s="6" t="s">
        <v>29</v>
      </c>
      <c r="B934" s="6" t="s">
        <v>29</v>
      </c>
      <c r="C934" s="7" t="str">
        <f>IF(A934="","",IFERROR(IF(VLOOKUP(B934,Bibliotheques!$A$10:$B$59,2,FALSE)=0,"Nom manquant",VLOOKUP(B934,Bibliotheques!$A$10:$B$59,2,FALSE)),"Clé inconnue"))</f>
        <v/>
      </c>
      <c r="D934" s="6" t="s">
        <v>29</v>
      </c>
      <c r="E934" s="7" t="str">
        <f t="shared" si="14"/>
        <v/>
      </c>
      <c r="F934" s="6" t="s">
        <v>29</v>
      </c>
      <c r="G934" s="6" t="s">
        <v>29</v>
      </c>
      <c r="H934" s="8" t="str">
        <f>IF(A934="","",Bibliotheques!$B$5&amp;IF(RIGHT(Bibliotheques!$B$5,1)="/","","/")&amp;SUBSTITUTE(A934," ","%20"))</f>
        <v/>
      </c>
      <c r="I934" s="6" t="s">
        <v>29</v>
      </c>
      <c r="J934" s="6" t="s">
        <v>29</v>
      </c>
    </row>
    <row r="935" spans="1:10" ht="33.950000000000003" customHeight="1">
      <c r="A935" s="6" t="s">
        <v>29</v>
      </c>
      <c r="B935" s="6" t="s">
        <v>29</v>
      </c>
      <c r="C935" s="7" t="str">
        <f>IF(A935="","",IFERROR(IF(VLOOKUP(B935,Bibliotheques!$A$10:$B$59,2,FALSE)=0,"Nom manquant",VLOOKUP(B935,Bibliotheques!$A$10:$B$59,2,FALSE)),"Clé inconnue"))</f>
        <v/>
      </c>
      <c r="D935" s="6" t="s">
        <v>29</v>
      </c>
      <c r="E935" s="7" t="str">
        <f t="shared" si="14"/>
        <v/>
      </c>
      <c r="F935" s="6" t="s">
        <v>29</v>
      </c>
      <c r="G935" s="6" t="s">
        <v>29</v>
      </c>
      <c r="H935" s="8" t="str">
        <f>IF(A935="","",Bibliotheques!$B$5&amp;IF(RIGHT(Bibliotheques!$B$5,1)="/","","/")&amp;SUBSTITUTE(A935," ","%20"))</f>
        <v/>
      </c>
      <c r="I935" s="6" t="s">
        <v>29</v>
      </c>
      <c r="J935" s="6" t="s">
        <v>29</v>
      </c>
    </row>
    <row r="936" spans="1:10" ht="33.950000000000003" customHeight="1">
      <c r="A936" s="6" t="s">
        <v>29</v>
      </c>
      <c r="B936" s="6" t="s">
        <v>29</v>
      </c>
      <c r="C936" s="7" t="str">
        <f>IF(A936="","",IFERROR(IF(VLOOKUP(B936,Bibliotheques!$A$10:$B$59,2,FALSE)=0,"Nom manquant",VLOOKUP(B936,Bibliotheques!$A$10:$B$59,2,FALSE)),"Clé inconnue"))</f>
        <v/>
      </c>
      <c r="D936" s="6" t="s">
        <v>29</v>
      </c>
      <c r="E936" s="7" t="str">
        <f t="shared" si="14"/>
        <v/>
      </c>
      <c r="F936" s="6" t="s">
        <v>29</v>
      </c>
      <c r="G936" s="6" t="s">
        <v>29</v>
      </c>
      <c r="H936" s="8" t="str">
        <f>IF(A936="","",Bibliotheques!$B$5&amp;IF(RIGHT(Bibliotheques!$B$5,1)="/","","/")&amp;SUBSTITUTE(A936," ","%20"))</f>
        <v/>
      </c>
      <c r="I936" s="6" t="s">
        <v>29</v>
      </c>
      <c r="J936" s="6" t="s">
        <v>29</v>
      </c>
    </row>
    <row r="937" spans="1:10" ht="33.950000000000003" customHeight="1">
      <c r="A937" s="6" t="s">
        <v>29</v>
      </c>
      <c r="B937" s="6" t="s">
        <v>29</v>
      </c>
      <c r="C937" s="7" t="str">
        <f>IF(A937="","",IFERROR(IF(VLOOKUP(B937,Bibliotheques!$A$10:$B$59,2,FALSE)=0,"Nom manquant",VLOOKUP(B937,Bibliotheques!$A$10:$B$59,2,FALSE)),"Clé inconnue"))</f>
        <v/>
      </c>
      <c r="D937" s="6" t="s">
        <v>29</v>
      </c>
      <c r="E937" s="7" t="str">
        <f t="shared" si="14"/>
        <v/>
      </c>
      <c r="F937" s="6" t="s">
        <v>29</v>
      </c>
      <c r="G937" s="6" t="s">
        <v>29</v>
      </c>
      <c r="H937" s="8" t="str">
        <f>IF(A937="","",Bibliotheques!$B$5&amp;IF(RIGHT(Bibliotheques!$B$5,1)="/","","/")&amp;SUBSTITUTE(A937," ","%20"))</f>
        <v/>
      </c>
      <c r="I937" s="6" t="s">
        <v>29</v>
      </c>
      <c r="J937" s="6" t="s">
        <v>29</v>
      </c>
    </row>
    <row r="938" spans="1:10" ht="33.950000000000003" customHeight="1">
      <c r="A938" s="6" t="s">
        <v>29</v>
      </c>
      <c r="B938" s="6" t="s">
        <v>29</v>
      </c>
      <c r="C938" s="7" t="str">
        <f>IF(A938="","",IFERROR(IF(VLOOKUP(B938,Bibliotheques!$A$10:$B$59,2,FALSE)=0,"Nom manquant",VLOOKUP(B938,Bibliotheques!$A$10:$B$59,2,FALSE)),"Clé inconnue"))</f>
        <v/>
      </c>
      <c r="D938" s="6" t="s">
        <v>29</v>
      </c>
      <c r="E938" s="7" t="str">
        <f t="shared" si="14"/>
        <v/>
      </c>
      <c r="F938" s="6" t="s">
        <v>29</v>
      </c>
      <c r="G938" s="6" t="s">
        <v>29</v>
      </c>
      <c r="H938" s="8" t="str">
        <f>IF(A938="","",Bibliotheques!$B$5&amp;IF(RIGHT(Bibliotheques!$B$5,1)="/","","/")&amp;SUBSTITUTE(A938," ","%20"))</f>
        <v/>
      </c>
      <c r="I938" s="6" t="s">
        <v>29</v>
      </c>
      <c r="J938" s="6" t="s">
        <v>29</v>
      </c>
    </row>
    <row r="939" spans="1:10" ht="33.950000000000003" customHeight="1">
      <c r="A939" s="6" t="s">
        <v>29</v>
      </c>
      <c r="B939" s="6" t="s">
        <v>29</v>
      </c>
      <c r="C939" s="7" t="str">
        <f>IF(A939="","",IFERROR(IF(VLOOKUP(B939,Bibliotheques!$A$10:$B$59,2,FALSE)=0,"Nom manquant",VLOOKUP(B939,Bibliotheques!$A$10:$B$59,2,FALSE)),"Clé inconnue"))</f>
        <v/>
      </c>
      <c r="D939" s="6" t="s">
        <v>29</v>
      </c>
      <c r="E939" s="7" t="str">
        <f t="shared" si="14"/>
        <v/>
      </c>
      <c r="F939" s="6" t="s">
        <v>29</v>
      </c>
      <c r="G939" s="6" t="s">
        <v>29</v>
      </c>
      <c r="H939" s="8" t="str">
        <f>IF(A939="","",Bibliotheques!$B$5&amp;IF(RIGHT(Bibliotheques!$B$5,1)="/","","/")&amp;SUBSTITUTE(A939," ","%20"))</f>
        <v/>
      </c>
      <c r="I939" s="6" t="s">
        <v>29</v>
      </c>
      <c r="J939" s="6" t="s">
        <v>29</v>
      </c>
    </row>
    <row r="940" spans="1:10" ht="33.950000000000003" customHeight="1">
      <c r="A940" s="6" t="s">
        <v>29</v>
      </c>
      <c r="B940" s="6" t="s">
        <v>29</v>
      </c>
      <c r="C940" s="7" t="str">
        <f>IF(A940="","",IFERROR(IF(VLOOKUP(B940,Bibliotheques!$A$10:$B$59,2,FALSE)=0,"Nom manquant",VLOOKUP(B940,Bibliotheques!$A$10:$B$59,2,FALSE)),"Clé inconnue"))</f>
        <v/>
      </c>
      <c r="D940" s="6" t="s">
        <v>29</v>
      </c>
      <c r="E940" s="7" t="str">
        <f t="shared" si="14"/>
        <v/>
      </c>
      <c r="F940" s="6" t="s">
        <v>29</v>
      </c>
      <c r="G940" s="6" t="s">
        <v>29</v>
      </c>
      <c r="H940" s="8" t="str">
        <f>IF(A940="","",Bibliotheques!$B$5&amp;IF(RIGHT(Bibliotheques!$B$5,1)="/","","/")&amp;SUBSTITUTE(A940," ","%20"))</f>
        <v/>
      </c>
      <c r="I940" s="6" t="s">
        <v>29</v>
      </c>
      <c r="J940" s="6" t="s">
        <v>29</v>
      </c>
    </row>
    <row r="941" spans="1:10" ht="33.950000000000003" customHeight="1">
      <c r="A941" s="6" t="s">
        <v>29</v>
      </c>
      <c r="B941" s="6" t="s">
        <v>29</v>
      </c>
      <c r="C941" s="7" t="str">
        <f>IF(A941="","",IFERROR(IF(VLOOKUP(B941,Bibliotheques!$A$10:$B$59,2,FALSE)=0,"Nom manquant",VLOOKUP(B941,Bibliotheques!$A$10:$B$59,2,FALSE)),"Clé inconnue"))</f>
        <v/>
      </c>
      <c r="D941" s="6" t="s">
        <v>29</v>
      </c>
      <c r="E941" s="7" t="str">
        <f t="shared" si="14"/>
        <v/>
      </c>
      <c r="F941" s="6" t="s">
        <v>29</v>
      </c>
      <c r="G941" s="6" t="s">
        <v>29</v>
      </c>
      <c r="H941" s="8" t="str">
        <f>IF(A941="","",Bibliotheques!$B$5&amp;IF(RIGHT(Bibliotheques!$B$5,1)="/","","/")&amp;SUBSTITUTE(A941," ","%20"))</f>
        <v/>
      </c>
      <c r="I941" s="6" t="s">
        <v>29</v>
      </c>
      <c r="J941" s="6" t="s">
        <v>29</v>
      </c>
    </row>
    <row r="942" spans="1:10" ht="33.950000000000003" customHeight="1">
      <c r="A942" s="6" t="s">
        <v>29</v>
      </c>
      <c r="B942" s="6" t="s">
        <v>29</v>
      </c>
      <c r="C942" s="7" t="str">
        <f>IF(A942="","",IFERROR(IF(VLOOKUP(B942,Bibliotheques!$A$10:$B$59,2,FALSE)=0,"Nom manquant",VLOOKUP(B942,Bibliotheques!$A$10:$B$59,2,FALSE)),"Clé inconnue"))</f>
        <v/>
      </c>
      <c r="D942" s="6" t="s">
        <v>29</v>
      </c>
      <c r="E942" s="7" t="str">
        <f t="shared" si="14"/>
        <v/>
      </c>
      <c r="F942" s="6" t="s">
        <v>29</v>
      </c>
      <c r="G942" s="6" t="s">
        <v>29</v>
      </c>
      <c r="H942" s="8" t="str">
        <f>IF(A942="","",Bibliotheques!$B$5&amp;IF(RIGHT(Bibliotheques!$B$5,1)="/","","/")&amp;SUBSTITUTE(A942," ","%20"))</f>
        <v/>
      </c>
      <c r="I942" s="6" t="s">
        <v>29</v>
      </c>
      <c r="J942" s="6" t="s">
        <v>29</v>
      </c>
    </row>
    <row r="943" spans="1:10" ht="33.950000000000003" customHeight="1">
      <c r="A943" s="6" t="s">
        <v>29</v>
      </c>
      <c r="B943" s="6" t="s">
        <v>29</v>
      </c>
      <c r="C943" s="7" t="str">
        <f>IF(A943="","",IFERROR(IF(VLOOKUP(B943,Bibliotheques!$A$10:$B$59,2,FALSE)=0,"Nom manquant",VLOOKUP(B943,Bibliotheques!$A$10:$B$59,2,FALSE)),"Clé inconnue"))</f>
        <v/>
      </c>
      <c r="D943" s="6" t="s">
        <v>29</v>
      </c>
      <c r="E943" s="7" t="str">
        <f t="shared" si="14"/>
        <v/>
      </c>
      <c r="F943" s="6" t="s">
        <v>29</v>
      </c>
      <c r="G943" s="6" t="s">
        <v>29</v>
      </c>
      <c r="H943" s="8" t="str">
        <f>IF(A943="","",Bibliotheques!$B$5&amp;IF(RIGHT(Bibliotheques!$B$5,1)="/","","/")&amp;SUBSTITUTE(A943," ","%20"))</f>
        <v/>
      </c>
      <c r="I943" s="6" t="s">
        <v>29</v>
      </c>
      <c r="J943" s="6" t="s">
        <v>29</v>
      </c>
    </row>
    <row r="944" spans="1:10" ht="33.950000000000003" customHeight="1">
      <c r="A944" s="6" t="s">
        <v>29</v>
      </c>
      <c r="B944" s="6" t="s">
        <v>29</v>
      </c>
      <c r="C944" s="7" t="str">
        <f>IF(A944="","",IFERROR(IF(VLOOKUP(B944,Bibliotheques!$A$10:$B$59,2,FALSE)=0,"Nom manquant",VLOOKUP(B944,Bibliotheques!$A$10:$B$59,2,FALSE)),"Clé inconnue"))</f>
        <v/>
      </c>
      <c r="D944" s="6" t="s">
        <v>29</v>
      </c>
      <c r="E944" s="7" t="str">
        <f t="shared" si="14"/>
        <v/>
      </c>
      <c r="F944" s="6" t="s">
        <v>29</v>
      </c>
      <c r="G944" s="6" t="s">
        <v>29</v>
      </c>
      <c r="H944" s="8" t="str">
        <f>IF(A944="","",Bibliotheques!$B$5&amp;IF(RIGHT(Bibliotheques!$B$5,1)="/","","/")&amp;SUBSTITUTE(A944," ","%20"))</f>
        <v/>
      </c>
      <c r="I944" s="6" t="s">
        <v>29</v>
      </c>
      <c r="J944" s="6" t="s">
        <v>29</v>
      </c>
    </row>
    <row r="945" spans="1:10" ht="33.950000000000003" customHeight="1">
      <c r="A945" s="6" t="s">
        <v>29</v>
      </c>
      <c r="B945" s="6" t="s">
        <v>29</v>
      </c>
      <c r="C945" s="7" t="str">
        <f>IF(A945="","",IFERROR(IF(VLOOKUP(B945,Bibliotheques!$A$10:$B$59,2,FALSE)=0,"Nom manquant",VLOOKUP(B945,Bibliotheques!$A$10:$B$59,2,FALSE)),"Clé inconnue"))</f>
        <v/>
      </c>
      <c r="D945" s="6" t="s">
        <v>29</v>
      </c>
      <c r="E945" s="7" t="str">
        <f t="shared" si="14"/>
        <v/>
      </c>
      <c r="F945" s="6" t="s">
        <v>29</v>
      </c>
      <c r="G945" s="6" t="s">
        <v>29</v>
      </c>
      <c r="H945" s="8" t="str">
        <f>IF(A945="","",Bibliotheques!$B$5&amp;IF(RIGHT(Bibliotheques!$B$5,1)="/","","/")&amp;SUBSTITUTE(A945," ","%20"))</f>
        <v/>
      </c>
      <c r="I945" s="6" t="s">
        <v>29</v>
      </c>
      <c r="J945" s="6" t="s">
        <v>29</v>
      </c>
    </row>
    <row r="946" spans="1:10" ht="33.950000000000003" customHeight="1">
      <c r="A946" s="6" t="s">
        <v>29</v>
      </c>
      <c r="B946" s="6" t="s">
        <v>29</v>
      </c>
      <c r="C946" s="7" t="str">
        <f>IF(A946="","",IFERROR(IF(VLOOKUP(B946,Bibliotheques!$A$10:$B$59,2,FALSE)=0,"Nom manquant",VLOOKUP(B946,Bibliotheques!$A$10:$B$59,2,FALSE)),"Clé inconnue"))</f>
        <v/>
      </c>
      <c r="D946" s="6" t="s">
        <v>29</v>
      </c>
      <c r="E946" s="7" t="str">
        <f t="shared" si="14"/>
        <v/>
      </c>
      <c r="F946" s="6" t="s">
        <v>29</v>
      </c>
      <c r="G946" s="6" t="s">
        <v>29</v>
      </c>
      <c r="H946" s="8" t="str">
        <f>IF(A946="","",Bibliotheques!$B$5&amp;IF(RIGHT(Bibliotheques!$B$5,1)="/","","/")&amp;SUBSTITUTE(A946," ","%20"))</f>
        <v/>
      </c>
      <c r="I946" s="6" t="s">
        <v>29</v>
      </c>
      <c r="J946" s="6" t="s">
        <v>29</v>
      </c>
    </row>
    <row r="947" spans="1:10" ht="33.950000000000003" customHeight="1">
      <c r="A947" s="6" t="s">
        <v>29</v>
      </c>
      <c r="B947" s="6" t="s">
        <v>29</v>
      </c>
      <c r="C947" s="7" t="str">
        <f>IF(A947="","",IFERROR(IF(VLOOKUP(B947,Bibliotheques!$A$10:$B$59,2,FALSE)=0,"Nom manquant",VLOOKUP(B947,Bibliotheques!$A$10:$B$59,2,FALSE)),"Clé inconnue"))</f>
        <v/>
      </c>
      <c r="D947" s="6" t="s">
        <v>29</v>
      </c>
      <c r="E947" s="7" t="str">
        <f t="shared" si="14"/>
        <v/>
      </c>
      <c r="F947" s="6" t="s">
        <v>29</v>
      </c>
      <c r="G947" s="6" t="s">
        <v>29</v>
      </c>
      <c r="H947" s="8" t="str">
        <f>IF(A947="","",Bibliotheques!$B$5&amp;IF(RIGHT(Bibliotheques!$B$5,1)="/","","/")&amp;SUBSTITUTE(A947," ","%20"))</f>
        <v/>
      </c>
      <c r="I947" s="6" t="s">
        <v>29</v>
      </c>
      <c r="J947" s="6" t="s">
        <v>29</v>
      </c>
    </row>
    <row r="948" spans="1:10" ht="33.950000000000003" customHeight="1">
      <c r="A948" s="6" t="s">
        <v>29</v>
      </c>
      <c r="B948" s="6" t="s">
        <v>29</v>
      </c>
      <c r="C948" s="7" t="str">
        <f>IF(A948="","",IFERROR(IF(VLOOKUP(B948,Bibliotheques!$A$10:$B$59,2,FALSE)=0,"Nom manquant",VLOOKUP(B948,Bibliotheques!$A$10:$B$59,2,FALSE)),"Clé inconnue"))</f>
        <v/>
      </c>
      <c r="D948" s="6" t="s">
        <v>29</v>
      </c>
      <c r="E948" s="7" t="str">
        <f t="shared" si="14"/>
        <v/>
      </c>
      <c r="F948" s="6" t="s">
        <v>29</v>
      </c>
      <c r="G948" s="6" t="s">
        <v>29</v>
      </c>
      <c r="H948" s="8" t="str">
        <f>IF(A948="","",Bibliotheques!$B$5&amp;IF(RIGHT(Bibliotheques!$B$5,1)="/","","/")&amp;SUBSTITUTE(A948," ","%20"))</f>
        <v/>
      </c>
      <c r="I948" s="6" t="s">
        <v>29</v>
      </c>
      <c r="J948" s="6" t="s">
        <v>29</v>
      </c>
    </row>
    <row r="949" spans="1:10" ht="33.950000000000003" customHeight="1">
      <c r="A949" s="6" t="s">
        <v>29</v>
      </c>
      <c r="B949" s="6" t="s">
        <v>29</v>
      </c>
      <c r="C949" s="7" t="str">
        <f>IF(A949="","",IFERROR(IF(VLOOKUP(B949,Bibliotheques!$A$10:$B$59,2,FALSE)=0,"Nom manquant",VLOOKUP(B949,Bibliotheques!$A$10:$B$59,2,FALSE)),"Clé inconnue"))</f>
        <v/>
      </c>
      <c r="D949" s="6" t="s">
        <v>29</v>
      </c>
      <c r="E949" s="7" t="str">
        <f t="shared" si="14"/>
        <v/>
      </c>
      <c r="F949" s="6" t="s">
        <v>29</v>
      </c>
      <c r="G949" s="6" t="s">
        <v>29</v>
      </c>
      <c r="H949" s="8" t="str">
        <f>IF(A949="","",Bibliotheques!$B$5&amp;IF(RIGHT(Bibliotheques!$B$5,1)="/","","/")&amp;SUBSTITUTE(A949," ","%20"))</f>
        <v/>
      </c>
      <c r="I949" s="6" t="s">
        <v>29</v>
      </c>
      <c r="J949" s="6" t="s">
        <v>29</v>
      </c>
    </row>
    <row r="950" spans="1:10" ht="33.950000000000003" customHeight="1">
      <c r="A950" s="6" t="s">
        <v>29</v>
      </c>
      <c r="B950" s="6" t="s">
        <v>29</v>
      </c>
      <c r="C950" s="7" t="str">
        <f>IF(A950="","",IFERROR(IF(VLOOKUP(B950,Bibliotheques!$A$10:$B$59,2,FALSE)=0,"Nom manquant",VLOOKUP(B950,Bibliotheques!$A$10:$B$59,2,FALSE)),"Clé inconnue"))</f>
        <v/>
      </c>
      <c r="D950" s="6" t="s">
        <v>29</v>
      </c>
      <c r="E950" s="7" t="str">
        <f t="shared" si="14"/>
        <v/>
      </c>
      <c r="F950" s="6" t="s">
        <v>29</v>
      </c>
      <c r="G950" s="6" t="s">
        <v>29</v>
      </c>
      <c r="H950" s="8" t="str">
        <f>IF(A950="","",Bibliotheques!$B$5&amp;IF(RIGHT(Bibliotheques!$B$5,1)="/","","/")&amp;SUBSTITUTE(A950," ","%20"))</f>
        <v/>
      </c>
      <c r="I950" s="6" t="s">
        <v>29</v>
      </c>
      <c r="J950" s="6" t="s">
        <v>29</v>
      </c>
    </row>
    <row r="951" spans="1:10" ht="33.950000000000003" customHeight="1">
      <c r="A951" s="6" t="s">
        <v>29</v>
      </c>
      <c r="B951" s="6" t="s">
        <v>29</v>
      </c>
      <c r="C951" s="7" t="str">
        <f>IF(A951="","",IFERROR(IF(VLOOKUP(B951,Bibliotheques!$A$10:$B$59,2,FALSE)=0,"Nom manquant",VLOOKUP(B951,Bibliotheques!$A$10:$B$59,2,FALSE)),"Clé inconnue"))</f>
        <v/>
      </c>
      <c r="D951" s="6" t="s">
        <v>29</v>
      </c>
      <c r="E951" s="7" t="str">
        <f t="shared" si="14"/>
        <v/>
      </c>
      <c r="F951" s="6" t="s">
        <v>29</v>
      </c>
      <c r="G951" s="6" t="s">
        <v>29</v>
      </c>
      <c r="H951" s="8" t="str">
        <f>IF(A951="","",Bibliotheques!$B$5&amp;IF(RIGHT(Bibliotheques!$B$5,1)="/","","/")&amp;SUBSTITUTE(A951," ","%20"))</f>
        <v/>
      </c>
      <c r="I951" s="6" t="s">
        <v>29</v>
      </c>
      <c r="J951" s="6" t="s">
        <v>29</v>
      </c>
    </row>
    <row r="952" spans="1:10" ht="33.950000000000003" customHeight="1">
      <c r="A952" s="6" t="s">
        <v>29</v>
      </c>
      <c r="B952" s="6" t="s">
        <v>29</v>
      </c>
      <c r="C952" s="7" t="str">
        <f>IF(A952="","",IFERROR(IF(VLOOKUP(B952,Bibliotheques!$A$10:$B$59,2,FALSE)=0,"Nom manquant",VLOOKUP(B952,Bibliotheques!$A$10:$B$59,2,FALSE)),"Clé inconnue"))</f>
        <v/>
      </c>
      <c r="D952" s="6" t="s">
        <v>29</v>
      </c>
      <c r="E952" s="7" t="str">
        <f t="shared" si="14"/>
        <v/>
      </c>
      <c r="F952" s="6" t="s">
        <v>29</v>
      </c>
      <c r="G952" s="6" t="s">
        <v>29</v>
      </c>
      <c r="H952" s="8" t="str">
        <f>IF(A952="","",Bibliotheques!$B$5&amp;IF(RIGHT(Bibliotheques!$B$5,1)="/","","/")&amp;SUBSTITUTE(A952," ","%20"))</f>
        <v/>
      </c>
      <c r="I952" s="6" t="s">
        <v>29</v>
      </c>
      <c r="J952" s="6" t="s">
        <v>29</v>
      </c>
    </row>
    <row r="953" spans="1:10" ht="33.950000000000003" customHeight="1">
      <c r="A953" s="6" t="s">
        <v>29</v>
      </c>
      <c r="B953" s="6" t="s">
        <v>29</v>
      </c>
      <c r="C953" s="7" t="str">
        <f>IF(A953="","",IFERROR(IF(VLOOKUP(B953,Bibliotheques!$A$10:$B$59,2,FALSE)=0,"Nom manquant",VLOOKUP(B953,Bibliotheques!$A$10:$B$59,2,FALSE)),"Clé inconnue"))</f>
        <v/>
      </c>
      <c r="D953" s="6" t="s">
        <v>29</v>
      </c>
      <c r="E953" s="7" t="str">
        <f t="shared" si="14"/>
        <v/>
      </c>
      <c r="F953" s="6" t="s">
        <v>29</v>
      </c>
      <c r="G953" s="6" t="s">
        <v>29</v>
      </c>
      <c r="H953" s="8" t="str">
        <f>IF(A953="","",Bibliotheques!$B$5&amp;IF(RIGHT(Bibliotheques!$B$5,1)="/","","/")&amp;SUBSTITUTE(A953," ","%20"))</f>
        <v/>
      </c>
      <c r="I953" s="6" t="s">
        <v>29</v>
      </c>
      <c r="J953" s="6" t="s">
        <v>29</v>
      </c>
    </row>
    <row r="954" spans="1:10" ht="33.950000000000003" customHeight="1">
      <c r="A954" s="6" t="s">
        <v>29</v>
      </c>
      <c r="B954" s="6" t="s">
        <v>29</v>
      </c>
      <c r="C954" s="7" t="str">
        <f>IF(A954="","",IFERROR(IF(VLOOKUP(B954,Bibliotheques!$A$10:$B$59,2,FALSE)=0,"Nom manquant",VLOOKUP(B954,Bibliotheques!$A$10:$B$59,2,FALSE)),"Clé inconnue"))</f>
        <v/>
      </c>
      <c r="D954" s="6" t="s">
        <v>29</v>
      </c>
      <c r="E954" s="7" t="str">
        <f t="shared" si="14"/>
        <v/>
      </c>
      <c r="F954" s="6" t="s">
        <v>29</v>
      </c>
      <c r="G954" s="6" t="s">
        <v>29</v>
      </c>
      <c r="H954" s="8" t="str">
        <f>IF(A954="","",Bibliotheques!$B$5&amp;IF(RIGHT(Bibliotheques!$B$5,1)="/","","/")&amp;SUBSTITUTE(A954," ","%20"))</f>
        <v/>
      </c>
      <c r="I954" s="6" t="s">
        <v>29</v>
      </c>
      <c r="J954" s="6" t="s">
        <v>29</v>
      </c>
    </row>
    <row r="955" spans="1:10" ht="33.950000000000003" customHeight="1">
      <c r="A955" s="6" t="s">
        <v>29</v>
      </c>
      <c r="B955" s="6" t="s">
        <v>29</v>
      </c>
      <c r="C955" s="7" t="str">
        <f>IF(A955="","",IFERROR(IF(VLOOKUP(B955,Bibliotheques!$A$10:$B$59,2,FALSE)=0,"Nom manquant",VLOOKUP(B955,Bibliotheques!$A$10:$B$59,2,FALSE)),"Clé inconnue"))</f>
        <v/>
      </c>
      <c r="D955" s="6" t="s">
        <v>29</v>
      </c>
      <c r="E955" s="7" t="str">
        <f t="shared" si="14"/>
        <v/>
      </c>
      <c r="F955" s="6" t="s">
        <v>29</v>
      </c>
      <c r="G955" s="6" t="s">
        <v>29</v>
      </c>
      <c r="H955" s="8" t="str">
        <f>IF(A955="","",Bibliotheques!$B$5&amp;IF(RIGHT(Bibliotheques!$B$5,1)="/","","/")&amp;SUBSTITUTE(A955," ","%20"))</f>
        <v/>
      </c>
      <c r="I955" s="6" t="s">
        <v>29</v>
      </c>
      <c r="J955" s="6" t="s">
        <v>29</v>
      </c>
    </row>
    <row r="956" spans="1:10" ht="33.950000000000003" customHeight="1">
      <c r="A956" s="6" t="s">
        <v>29</v>
      </c>
      <c r="B956" s="6" t="s">
        <v>29</v>
      </c>
      <c r="C956" s="7" t="str">
        <f>IF(A956="","",IFERROR(IF(VLOOKUP(B956,Bibliotheques!$A$10:$B$59,2,FALSE)=0,"Nom manquant",VLOOKUP(B956,Bibliotheques!$A$10:$B$59,2,FALSE)),"Clé inconnue"))</f>
        <v/>
      </c>
      <c r="D956" s="6" t="s">
        <v>29</v>
      </c>
      <c r="E956" s="7" t="str">
        <f t="shared" si="14"/>
        <v/>
      </c>
      <c r="F956" s="6" t="s">
        <v>29</v>
      </c>
      <c r="G956" s="6" t="s">
        <v>29</v>
      </c>
      <c r="H956" s="8" t="str">
        <f>IF(A956="","",Bibliotheques!$B$5&amp;IF(RIGHT(Bibliotheques!$B$5,1)="/","","/")&amp;SUBSTITUTE(A956," ","%20"))</f>
        <v/>
      </c>
      <c r="I956" s="6" t="s">
        <v>29</v>
      </c>
      <c r="J956" s="6" t="s">
        <v>29</v>
      </c>
    </row>
    <row r="957" spans="1:10" ht="33.950000000000003" customHeight="1">
      <c r="A957" s="6" t="s">
        <v>29</v>
      </c>
      <c r="B957" s="6" t="s">
        <v>29</v>
      </c>
      <c r="C957" s="7" t="str">
        <f>IF(A957="","",IFERROR(IF(VLOOKUP(B957,Bibliotheques!$A$10:$B$59,2,FALSE)=0,"Nom manquant",VLOOKUP(B957,Bibliotheques!$A$10:$B$59,2,FALSE)),"Clé inconnue"))</f>
        <v/>
      </c>
      <c r="D957" s="6" t="s">
        <v>29</v>
      </c>
      <c r="E957" s="7" t="str">
        <f t="shared" si="14"/>
        <v/>
      </c>
      <c r="F957" s="6" t="s">
        <v>29</v>
      </c>
      <c r="G957" s="6" t="s">
        <v>29</v>
      </c>
      <c r="H957" s="8" t="str">
        <f>IF(A957="","",Bibliotheques!$B$5&amp;IF(RIGHT(Bibliotheques!$B$5,1)="/","","/")&amp;SUBSTITUTE(A957," ","%20"))</f>
        <v/>
      </c>
      <c r="I957" s="6" t="s">
        <v>29</v>
      </c>
      <c r="J957" s="6" t="s">
        <v>29</v>
      </c>
    </row>
    <row r="958" spans="1:10" ht="33.950000000000003" customHeight="1">
      <c r="A958" s="6" t="s">
        <v>29</v>
      </c>
      <c r="B958" s="6" t="s">
        <v>29</v>
      </c>
      <c r="C958" s="7" t="str">
        <f>IF(A958="","",IFERROR(IF(VLOOKUP(B958,Bibliotheques!$A$10:$B$59,2,FALSE)=0,"Nom manquant",VLOOKUP(B958,Bibliotheques!$A$10:$B$59,2,FALSE)),"Clé inconnue"))</f>
        <v/>
      </c>
      <c r="D958" s="6" t="s">
        <v>29</v>
      </c>
      <c r="E958" s="7" t="str">
        <f t="shared" si="14"/>
        <v/>
      </c>
      <c r="F958" s="6" t="s">
        <v>29</v>
      </c>
      <c r="G958" s="6" t="s">
        <v>29</v>
      </c>
      <c r="H958" s="8" t="str">
        <f>IF(A958="","",Bibliotheques!$B$5&amp;IF(RIGHT(Bibliotheques!$B$5,1)="/","","/")&amp;SUBSTITUTE(A958," ","%20"))</f>
        <v/>
      </c>
      <c r="I958" s="6" t="s">
        <v>29</v>
      </c>
      <c r="J958" s="6" t="s">
        <v>29</v>
      </c>
    </row>
    <row r="959" spans="1:10" ht="33.950000000000003" customHeight="1">
      <c r="A959" s="6" t="s">
        <v>29</v>
      </c>
      <c r="B959" s="6" t="s">
        <v>29</v>
      </c>
      <c r="C959" s="7" t="str">
        <f>IF(A959="","",IFERROR(IF(VLOOKUP(B959,Bibliotheques!$A$10:$B$59,2,FALSE)=0,"Nom manquant",VLOOKUP(B959,Bibliotheques!$A$10:$B$59,2,FALSE)),"Clé inconnue"))</f>
        <v/>
      </c>
      <c r="D959" s="6" t="s">
        <v>29</v>
      </c>
      <c r="E959" s="7" t="str">
        <f t="shared" si="14"/>
        <v/>
      </c>
      <c r="F959" s="6" t="s">
        <v>29</v>
      </c>
      <c r="G959" s="6" t="s">
        <v>29</v>
      </c>
      <c r="H959" s="8" t="str">
        <f>IF(A959="","",Bibliotheques!$B$5&amp;IF(RIGHT(Bibliotheques!$B$5,1)="/","","/")&amp;SUBSTITUTE(A959," ","%20"))</f>
        <v/>
      </c>
      <c r="I959" s="6" t="s">
        <v>29</v>
      </c>
      <c r="J959" s="6" t="s">
        <v>29</v>
      </c>
    </row>
    <row r="960" spans="1:10" ht="33.950000000000003" customHeight="1">
      <c r="A960" s="6" t="s">
        <v>29</v>
      </c>
      <c r="B960" s="6" t="s">
        <v>29</v>
      </c>
      <c r="C960" s="7" t="str">
        <f>IF(A960="","",IFERROR(IF(VLOOKUP(B960,Bibliotheques!$A$10:$B$59,2,FALSE)=0,"Nom manquant",VLOOKUP(B960,Bibliotheques!$A$10:$B$59,2,FALSE)),"Clé inconnue"))</f>
        <v/>
      </c>
      <c r="D960" s="6" t="s">
        <v>29</v>
      </c>
      <c r="E960" s="7" t="str">
        <f t="shared" si="14"/>
        <v/>
      </c>
      <c r="F960" s="6" t="s">
        <v>29</v>
      </c>
      <c r="G960" s="6" t="s">
        <v>29</v>
      </c>
      <c r="H960" s="8" t="str">
        <f>IF(A960="","",Bibliotheques!$B$5&amp;IF(RIGHT(Bibliotheques!$B$5,1)="/","","/")&amp;SUBSTITUTE(A960," ","%20"))</f>
        <v/>
      </c>
      <c r="I960" s="6" t="s">
        <v>29</v>
      </c>
      <c r="J960" s="6" t="s">
        <v>29</v>
      </c>
    </row>
    <row r="961" spans="1:10" ht="33.950000000000003" customHeight="1">
      <c r="A961" s="6" t="s">
        <v>29</v>
      </c>
      <c r="B961" s="6" t="s">
        <v>29</v>
      </c>
      <c r="C961" s="7" t="str">
        <f>IF(A961="","",IFERROR(IF(VLOOKUP(B961,Bibliotheques!$A$10:$B$59,2,FALSE)=0,"Nom manquant",VLOOKUP(B961,Bibliotheques!$A$10:$B$59,2,FALSE)),"Clé inconnue"))</f>
        <v/>
      </c>
      <c r="D961" s="6" t="s">
        <v>29</v>
      </c>
      <c r="E961" s="7" t="str">
        <f t="shared" si="14"/>
        <v/>
      </c>
      <c r="F961" s="6" t="s">
        <v>29</v>
      </c>
      <c r="G961" s="6" t="s">
        <v>29</v>
      </c>
      <c r="H961" s="8" t="str">
        <f>IF(A961="","",Bibliotheques!$B$5&amp;IF(RIGHT(Bibliotheques!$B$5,1)="/","","/")&amp;SUBSTITUTE(A961," ","%20"))</f>
        <v/>
      </c>
      <c r="I961" s="6" t="s">
        <v>29</v>
      </c>
      <c r="J961" s="6" t="s">
        <v>29</v>
      </c>
    </row>
    <row r="962" spans="1:10" ht="33.950000000000003" customHeight="1">
      <c r="A962" s="6" t="s">
        <v>29</v>
      </c>
      <c r="B962" s="6" t="s">
        <v>29</v>
      </c>
      <c r="C962" s="7" t="str">
        <f>IF(A962="","",IFERROR(IF(VLOOKUP(B962,Bibliotheques!$A$10:$B$59,2,FALSE)=0,"Nom manquant",VLOOKUP(B962,Bibliotheques!$A$10:$B$59,2,FALSE)),"Clé inconnue"))</f>
        <v/>
      </c>
      <c r="D962" s="6" t="s">
        <v>29</v>
      </c>
      <c r="E962" s="7" t="str">
        <f t="shared" si="14"/>
        <v/>
      </c>
      <c r="F962" s="6" t="s">
        <v>29</v>
      </c>
      <c r="G962" s="6" t="s">
        <v>29</v>
      </c>
      <c r="H962" s="8" t="str">
        <f>IF(A962="","",Bibliotheques!$B$5&amp;IF(RIGHT(Bibliotheques!$B$5,1)="/","","/")&amp;SUBSTITUTE(A962," ","%20"))</f>
        <v/>
      </c>
      <c r="I962" s="6" t="s">
        <v>29</v>
      </c>
      <c r="J962" s="6" t="s">
        <v>29</v>
      </c>
    </row>
    <row r="963" spans="1:10" ht="33.950000000000003" customHeight="1">
      <c r="A963" s="6" t="s">
        <v>29</v>
      </c>
      <c r="B963" s="6" t="s">
        <v>29</v>
      </c>
      <c r="C963" s="7" t="str">
        <f>IF(A963="","",IFERROR(IF(VLOOKUP(B963,Bibliotheques!$A$10:$B$59,2,FALSE)=0,"Nom manquant",VLOOKUP(B963,Bibliotheques!$A$10:$B$59,2,FALSE)),"Clé inconnue"))</f>
        <v/>
      </c>
      <c r="D963" s="6" t="s">
        <v>29</v>
      </c>
      <c r="E963" s="7" t="str">
        <f t="shared" si="14"/>
        <v/>
      </c>
      <c r="F963" s="6" t="s">
        <v>29</v>
      </c>
      <c r="G963" s="6" t="s">
        <v>29</v>
      </c>
      <c r="H963" s="8" t="str">
        <f>IF(A963="","",Bibliotheques!$B$5&amp;IF(RIGHT(Bibliotheques!$B$5,1)="/","","/")&amp;SUBSTITUTE(A963," ","%20"))</f>
        <v/>
      </c>
      <c r="I963" s="6" t="s">
        <v>29</v>
      </c>
      <c r="J963" s="6" t="s">
        <v>29</v>
      </c>
    </row>
    <row r="964" spans="1:10" ht="33.950000000000003" customHeight="1">
      <c r="A964" s="6" t="s">
        <v>29</v>
      </c>
      <c r="B964" s="6" t="s">
        <v>29</v>
      </c>
      <c r="C964" s="7" t="str">
        <f>IF(A964="","",IFERROR(IF(VLOOKUP(B964,Bibliotheques!$A$10:$B$59,2,FALSE)=0,"Nom manquant",VLOOKUP(B964,Bibliotheques!$A$10:$B$59,2,FALSE)),"Clé inconnue"))</f>
        <v/>
      </c>
      <c r="D964" s="6" t="s">
        <v>29</v>
      </c>
      <c r="E964" s="7" t="str">
        <f t="shared" si="14"/>
        <v/>
      </c>
      <c r="F964" s="6" t="s">
        <v>29</v>
      </c>
      <c r="G964" s="6" t="s">
        <v>29</v>
      </c>
      <c r="H964" s="8" t="str">
        <f>IF(A964="","",Bibliotheques!$B$5&amp;IF(RIGHT(Bibliotheques!$B$5,1)="/","","/")&amp;SUBSTITUTE(A964," ","%20"))</f>
        <v/>
      </c>
      <c r="I964" s="6" t="s">
        <v>29</v>
      </c>
      <c r="J964" s="6" t="s">
        <v>29</v>
      </c>
    </row>
    <row r="965" spans="1:10" ht="33.950000000000003" customHeight="1">
      <c r="A965" s="6" t="s">
        <v>29</v>
      </c>
      <c r="B965" s="6" t="s">
        <v>29</v>
      </c>
      <c r="C965" s="7" t="str">
        <f>IF(A965="","",IFERROR(IF(VLOOKUP(B965,Bibliotheques!$A$10:$B$59,2,FALSE)=0,"Nom manquant",VLOOKUP(B965,Bibliotheques!$A$10:$B$59,2,FALSE)),"Clé inconnue"))</f>
        <v/>
      </c>
      <c r="D965" s="6" t="s">
        <v>29</v>
      </c>
      <c r="E965" s="7" t="str">
        <f t="shared" si="14"/>
        <v/>
      </c>
      <c r="F965" s="6" t="s">
        <v>29</v>
      </c>
      <c r="G965" s="6" t="s">
        <v>29</v>
      </c>
      <c r="H965" s="8" t="str">
        <f>IF(A965="","",Bibliotheques!$B$5&amp;IF(RIGHT(Bibliotheques!$B$5,1)="/","","/")&amp;SUBSTITUTE(A965," ","%20"))</f>
        <v/>
      </c>
      <c r="I965" s="6" t="s">
        <v>29</v>
      </c>
      <c r="J965" s="6" t="s">
        <v>29</v>
      </c>
    </row>
    <row r="966" spans="1:10" ht="33.950000000000003" customHeight="1">
      <c r="A966" s="6" t="s">
        <v>29</v>
      </c>
      <c r="B966" s="6" t="s">
        <v>29</v>
      </c>
      <c r="C966" s="7" t="str">
        <f>IF(A966="","",IFERROR(IF(VLOOKUP(B966,Bibliotheques!$A$10:$B$59,2,FALSE)=0,"Nom manquant",VLOOKUP(B966,Bibliotheques!$A$10:$B$59,2,FALSE)),"Clé inconnue"))</f>
        <v/>
      </c>
      <c r="D966" s="6" t="s">
        <v>29</v>
      </c>
      <c r="E966" s="7" t="str">
        <f t="shared" ref="E966:E1005" si="15">IF(A966="","",LOWER(B966&amp;"-"&amp;SUBSTITUTE(SUBSTITUTE(SUBSTITUTE(LOWER(A966),".svg","")," ","-"),"/","-")))</f>
        <v/>
      </c>
      <c r="F966" s="6" t="s">
        <v>29</v>
      </c>
      <c r="G966" s="6" t="s">
        <v>29</v>
      </c>
      <c r="H966" s="8" t="str">
        <f>IF(A966="","",Bibliotheques!$B$5&amp;IF(RIGHT(Bibliotheques!$B$5,1)="/","","/")&amp;SUBSTITUTE(A966," ","%20"))</f>
        <v/>
      </c>
      <c r="I966" s="6" t="s">
        <v>29</v>
      </c>
      <c r="J966" s="6" t="s">
        <v>29</v>
      </c>
    </row>
    <row r="967" spans="1:10" ht="33.950000000000003" customHeight="1">
      <c r="A967" s="6" t="s">
        <v>29</v>
      </c>
      <c r="B967" s="6" t="s">
        <v>29</v>
      </c>
      <c r="C967" s="7" t="str">
        <f>IF(A967="","",IFERROR(IF(VLOOKUP(B967,Bibliotheques!$A$10:$B$59,2,FALSE)=0,"Nom manquant",VLOOKUP(B967,Bibliotheques!$A$10:$B$59,2,FALSE)),"Clé inconnue"))</f>
        <v/>
      </c>
      <c r="D967" s="6" t="s">
        <v>29</v>
      </c>
      <c r="E967" s="7" t="str">
        <f t="shared" si="15"/>
        <v/>
      </c>
      <c r="F967" s="6" t="s">
        <v>29</v>
      </c>
      <c r="G967" s="6" t="s">
        <v>29</v>
      </c>
      <c r="H967" s="8" t="str">
        <f>IF(A967="","",Bibliotheques!$B$5&amp;IF(RIGHT(Bibliotheques!$B$5,1)="/","","/")&amp;SUBSTITUTE(A967," ","%20"))</f>
        <v/>
      </c>
      <c r="I967" s="6" t="s">
        <v>29</v>
      </c>
      <c r="J967" s="6" t="s">
        <v>29</v>
      </c>
    </row>
    <row r="968" spans="1:10" ht="33.950000000000003" customHeight="1">
      <c r="A968" s="6" t="s">
        <v>29</v>
      </c>
      <c r="B968" s="6" t="s">
        <v>29</v>
      </c>
      <c r="C968" s="7" t="str">
        <f>IF(A968="","",IFERROR(IF(VLOOKUP(B968,Bibliotheques!$A$10:$B$59,2,FALSE)=0,"Nom manquant",VLOOKUP(B968,Bibliotheques!$A$10:$B$59,2,FALSE)),"Clé inconnue"))</f>
        <v/>
      </c>
      <c r="D968" s="6" t="s">
        <v>29</v>
      </c>
      <c r="E968" s="7" t="str">
        <f t="shared" si="15"/>
        <v/>
      </c>
      <c r="F968" s="6" t="s">
        <v>29</v>
      </c>
      <c r="G968" s="6" t="s">
        <v>29</v>
      </c>
      <c r="H968" s="8" t="str">
        <f>IF(A968="","",Bibliotheques!$B$5&amp;IF(RIGHT(Bibliotheques!$B$5,1)="/","","/")&amp;SUBSTITUTE(A968," ","%20"))</f>
        <v/>
      </c>
      <c r="I968" s="6" t="s">
        <v>29</v>
      </c>
      <c r="J968" s="6" t="s">
        <v>29</v>
      </c>
    </row>
    <row r="969" spans="1:10" ht="33.950000000000003" customHeight="1">
      <c r="A969" s="6" t="s">
        <v>29</v>
      </c>
      <c r="B969" s="6" t="s">
        <v>29</v>
      </c>
      <c r="C969" s="7" t="str">
        <f>IF(A969="","",IFERROR(IF(VLOOKUP(B969,Bibliotheques!$A$10:$B$59,2,FALSE)=0,"Nom manquant",VLOOKUP(B969,Bibliotheques!$A$10:$B$59,2,FALSE)),"Clé inconnue"))</f>
        <v/>
      </c>
      <c r="D969" s="6" t="s">
        <v>29</v>
      </c>
      <c r="E969" s="7" t="str">
        <f t="shared" si="15"/>
        <v/>
      </c>
      <c r="F969" s="6" t="s">
        <v>29</v>
      </c>
      <c r="G969" s="6" t="s">
        <v>29</v>
      </c>
      <c r="H969" s="8" t="str">
        <f>IF(A969="","",Bibliotheques!$B$5&amp;IF(RIGHT(Bibliotheques!$B$5,1)="/","","/")&amp;SUBSTITUTE(A969," ","%20"))</f>
        <v/>
      </c>
      <c r="I969" s="6" t="s">
        <v>29</v>
      </c>
      <c r="J969" s="6" t="s">
        <v>29</v>
      </c>
    </row>
    <row r="970" spans="1:10" ht="33.950000000000003" customHeight="1">
      <c r="A970" s="6" t="s">
        <v>29</v>
      </c>
      <c r="B970" s="6" t="s">
        <v>29</v>
      </c>
      <c r="C970" s="7" t="str">
        <f>IF(A970="","",IFERROR(IF(VLOOKUP(B970,Bibliotheques!$A$10:$B$59,2,FALSE)=0,"Nom manquant",VLOOKUP(B970,Bibliotheques!$A$10:$B$59,2,FALSE)),"Clé inconnue"))</f>
        <v/>
      </c>
      <c r="D970" s="6" t="s">
        <v>29</v>
      </c>
      <c r="E970" s="7" t="str">
        <f t="shared" si="15"/>
        <v/>
      </c>
      <c r="F970" s="6" t="s">
        <v>29</v>
      </c>
      <c r="G970" s="6" t="s">
        <v>29</v>
      </c>
      <c r="H970" s="8" t="str">
        <f>IF(A970="","",Bibliotheques!$B$5&amp;IF(RIGHT(Bibliotheques!$B$5,1)="/","","/")&amp;SUBSTITUTE(A970," ","%20"))</f>
        <v/>
      </c>
      <c r="I970" s="6" t="s">
        <v>29</v>
      </c>
      <c r="J970" s="6" t="s">
        <v>29</v>
      </c>
    </row>
    <row r="971" spans="1:10" ht="33.950000000000003" customHeight="1">
      <c r="A971" s="6" t="s">
        <v>29</v>
      </c>
      <c r="B971" s="6" t="s">
        <v>29</v>
      </c>
      <c r="C971" s="7" t="str">
        <f>IF(A971="","",IFERROR(IF(VLOOKUP(B971,Bibliotheques!$A$10:$B$59,2,FALSE)=0,"Nom manquant",VLOOKUP(B971,Bibliotheques!$A$10:$B$59,2,FALSE)),"Clé inconnue"))</f>
        <v/>
      </c>
      <c r="D971" s="6" t="s">
        <v>29</v>
      </c>
      <c r="E971" s="7" t="str">
        <f t="shared" si="15"/>
        <v/>
      </c>
      <c r="F971" s="6" t="s">
        <v>29</v>
      </c>
      <c r="G971" s="6" t="s">
        <v>29</v>
      </c>
      <c r="H971" s="8" t="str">
        <f>IF(A971="","",Bibliotheques!$B$5&amp;IF(RIGHT(Bibliotheques!$B$5,1)="/","","/")&amp;SUBSTITUTE(A971," ","%20"))</f>
        <v/>
      </c>
      <c r="I971" s="6" t="s">
        <v>29</v>
      </c>
      <c r="J971" s="6" t="s">
        <v>29</v>
      </c>
    </row>
    <row r="972" spans="1:10" ht="33.950000000000003" customHeight="1">
      <c r="A972" s="6" t="s">
        <v>29</v>
      </c>
      <c r="B972" s="6" t="s">
        <v>29</v>
      </c>
      <c r="C972" s="7" t="str">
        <f>IF(A972="","",IFERROR(IF(VLOOKUP(B972,Bibliotheques!$A$10:$B$59,2,FALSE)=0,"Nom manquant",VLOOKUP(B972,Bibliotheques!$A$10:$B$59,2,FALSE)),"Clé inconnue"))</f>
        <v/>
      </c>
      <c r="D972" s="6" t="s">
        <v>29</v>
      </c>
      <c r="E972" s="7" t="str">
        <f t="shared" si="15"/>
        <v/>
      </c>
      <c r="F972" s="6" t="s">
        <v>29</v>
      </c>
      <c r="G972" s="6" t="s">
        <v>29</v>
      </c>
      <c r="H972" s="8" t="str">
        <f>IF(A972="","",Bibliotheques!$B$5&amp;IF(RIGHT(Bibliotheques!$B$5,1)="/","","/")&amp;SUBSTITUTE(A972," ","%20"))</f>
        <v/>
      </c>
      <c r="I972" s="6" t="s">
        <v>29</v>
      </c>
      <c r="J972" s="6" t="s">
        <v>29</v>
      </c>
    </row>
    <row r="973" spans="1:10" ht="33.950000000000003" customHeight="1">
      <c r="A973" s="6" t="s">
        <v>29</v>
      </c>
      <c r="B973" s="6" t="s">
        <v>29</v>
      </c>
      <c r="C973" s="7" t="str">
        <f>IF(A973="","",IFERROR(IF(VLOOKUP(B973,Bibliotheques!$A$10:$B$59,2,FALSE)=0,"Nom manquant",VLOOKUP(B973,Bibliotheques!$A$10:$B$59,2,FALSE)),"Clé inconnue"))</f>
        <v/>
      </c>
      <c r="D973" s="6" t="s">
        <v>29</v>
      </c>
      <c r="E973" s="7" t="str">
        <f t="shared" si="15"/>
        <v/>
      </c>
      <c r="F973" s="6" t="s">
        <v>29</v>
      </c>
      <c r="G973" s="6" t="s">
        <v>29</v>
      </c>
      <c r="H973" s="8" t="str">
        <f>IF(A973="","",Bibliotheques!$B$5&amp;IF(RIGHT(Bibliotheques!$B$5,1)="/","","/")&amp;SUBSTITUTE(A973," ","%20"))</f>
        <v/>
      </c>
      <c r="I973" s="6" t="s">
        <v>29</v>
      </c>
      <c r="J973" s="6" t="s">
        <v>29</v>
      </c>
    </row>
    <row r="974" spans="1:10" ht="33.950000000000003" customHeight="1">
      <c r="A974" s="6" t="s">
        <v>29</v>
      </c>
      <c r="B974" s="6" t="s">
        <v>29</v>
      </c>
      <c r="C974" s="7" t="str">
        <f>IF(A974="","",IFERROR(IF(VLOOKUP(B974,Bibliotheques!$A$10:$B$59,2,FALSE)=0,"Nom manquant",VLOOKUP(B974,Bibliotheques!$A$10:$B$59,2,FALSE)),"Clé inconnue"))</f>
        <v/>
      </c>
      <c r="D974" s="6" t="s">
        <v>29</v>
      </c>
      <c r="E974" s="7" t="str">
        <f t="shared" si="15"/>
        <v/>
      </c>
      <c r="F974" s="6" t="s">
        <v>29</v>
      </c>
      <c r="G974" s="6" t="s">
        <v>29</v>
      </c>
      <c r="H974" s="8" t="str">
        <f>IF(A974="","",Bibliotheques!$B$5&amp;IF(RIGHT(Bibliotheques!$B$5,1)="/","","/")&amp;SUBSTITUTE(A974," ","%20"))</f>
        <v/>
      </c>
      <c r="I974" s="6" t="s">
        <v>29</v>
      </c>
      <c r="J974" s="6" t="s">
        <v>29</v>
      </c>
    </row>
    <row r="975" spans="1:10" ht="33.950000000000003" customHeight="1">
      <c r="A975" s="6" t="s">
        <v>29</v>
      </c>
      <c r="B975" s="6" t="s">
        <v>29</v>
      </c>
      <c r="C975" s="7" t="str">
        <f>IF(A975="","",IFERROR(IF(VLOOKUP(B975,Bibliotheques!$A$10:$B$59,2,FALSE)=0,"Nom manquant",VLOOKUP(B975,Bibliotheques!$A$10:$B$59,2,FALSE)),"Clé inconnue"))</f>
        <v/>
      </c>
      <c r="D975" s="6" t="s">
        <v>29</v>
      </c>
      <c r="E975" s="7" t="str">
        <f t="shared" si="15"/>
        <v/>
      </c>
      <c r="F975" s="6" t="s">
        <v>29</v>
      </c>
      <c r="G975" s="6" t="s">
        <v>29</v>
      </c>
      <c r="H975" s="8" t="str">
        <f>IF(A975="","",Bibliotheques!$B$5&amp;IF(RIGHT(Bibliotheques!$B$5,1)="/","","/")&amp;SUBSTITUTE(A975," ","%20"))</f>
        <v/>
      </c>
      <c r="I975" s="6" t="s">
        <v>29</v>
      </c>
      <c r="J975" s="6" t="s">
        <v>29</v>
      </c>
    </row>
    <row r="976" spans="1:10" ht="33.950000000000003" customHeight="1">
      <c r="A976" s="6" t="s">
        <v>29</v>
      </c>
      <c r="B976" s="6" t="s">
        <v>29</v>
      </c>
      <c r="C976" s="7" t="str">
        <f>IF(A976="","",IFERROR(IF(VLOOKUP(B976,Bibliotheques!$A$10:$B$59,2,FALSE)=0,"Nom manquant",VLOOKUP(B976,Bibliotheques!$A$10:$B$59,2,FALSE)),"Clé inconnue"))</f>
        <v/>
      </c>
      <c r="D976" s="6" t="s">
        <v>29</v>
      </c>
      <c r="E976" s="7" t="str">
        <f t="shared" si="15"/>
        <v/>
      </c>
      <c r="F976" s="6" t="s">
        <v>29</v>
      </c>
      <c r="G976" s="6" t="s">
        <v>29</v>
      </c>
      <c r="H976" s="8" t="str">
        <f>IF(A976="","",Bibliotheques!$B$5&amp;IF(RIGHT(Bibliotheques!$B$5,1)="/","","/")&amp;SUBSTITUTE(A976," ","%20"))</f>
        <v/>
      </c>
      <c r="I976" s="6" t="s">
        <v>29</v>
      </c>
      <c r="J976" s="6" t="s">
        <v>29</v>
      </c>
    </row>
    <row r="977" spans="1:10" ht="33.950000000000003" customHeight="1">
      <c r="A977" s="6" t="s">
        <v>29</v>
      </c>
      <c r="B977" s="6" t="s">
        <v>29</v>
      </c>
      <c r="C977" s="7" t="str">
        <f>IF(A977="","",IFERROR(IF(VLOOKUP(B977,Bibliotheques!$A$10:$B$59,2,FALSE)=0,"Nom manquant",VLOOKUP(B977,Bibliotheques!$A$10:$B$59,2,FALSE)),"Clé inconnue"))</f>
        <v/>
      </c>
      <c r="D977" s="6" t="s">
        <v>29</v>
      </c>
      <c r="E977" s="7" t="str">
        <f t="shared" si="15"/>
        <v/>
      </c>
      <c r="F977" s="6" t="s">
        <v>29</v>
      </c>
      <c r="G977" s="6" t="s">
        <v>29</v>
      </c>
      <c r="H977" s="8" t="str">
        <f>IF(A977="","",Bibliotheques!$B$5&amp;IF(RIGHT(Bibliotheques!$B$5,1)="/","","/")&amp;SUBSTITUTE(A977," ","%20"))</f>
        <v/>
      </c>
      <c r="I977" s="6" t="s">
        <v>29</v>
      </c>
      <c r="J977" s="6" t="s">
        <v>29</v>
      </c>
    </row>
    <row r="978" spans="1:10" ht="33.950000000000003" customHeight="1">
      <c r="A978" s="6" t="s">
        <v>29</v>
      </c>
      <c r="B978" s="6" t="s">
        <v>29</v>
      </c>
      <c r="C978" s="7" t="str">
        <f>IF(A978="","",IFERROR(IF(VLOOKUP(B978,Bibliotheques!$A$10:$B$59,2,FALSE)=0,"Nom manquant",VLOOKUP(B978,Bibliotheques!$A$10:$B$59,2,FALSE)),"Clé inconnue"))</f>
        <v/>
      </c>
      <c r="D978" s="6" t="s">
        <v>29</v>
      </c>
      <c r="E978" s="7" t="str">
        <f t="shared" si="15"/>
        <v/>
      </c>
      <c r="F978" s="6" t="s">
        <v>29</v>
      </c>
      <c r="G978" s="6" t="s">
        <v>29</v>
      </c>
      <c r="H978" s="8" t="str">
        <f>IF(A978="","",Bibliotheques!$B$5&amp;IF(RIGHT(Bibliotheques!$B$5,1)="/","","/")&amp;SUBSTITUTE(A978," ","%20"))</f>
        <v/>
      </c>
      <c r="I978" s="6" t="s">
        <v>29</v>
      </c>
      <c r="J978" s="6" t="s">
        <v>29</v>
      </c>
    </row>
    <row r="979" spans="1:10" ht="33.950000000000003" customHeight="1">
      <c r="A979" s="6" t="s">
        <v>29</v>
      </c>
      <c r="B979" s="6" t="s">
        <v>29</v>
      </c>
      <c r="C979" s="7" t="str">
        <f>IF(A979="","",IFERROR(IF(VLOOKUP(B979,Bibliotheques!$A$10:$B$59,2,FALSE)=0,"Nom manquant",VLOOKUP(B979,Bibliotheques!$A$10:$B$59,2,FALSE)),"Clé inconnue"))</f>
        <v/>
      </c>
      <c r="D979" s="6" t="s">
        <v>29</v>
      </c>
      <c r="E979" s="7" t="str">
        <f t="shared" si="15"/>
        <v/>
      </c>
      <c r="F979" s="6" t="s">
        <v>29</v>
      </c>
      <c r="G979" s="6" t="s">
        <v>29</v>
      </c>
      <c r="H979" s="8" t="str">
        <f>IF(A979="","",Bibliotheques!$B$5&amp;IF(RIGHT(Bibliotheques!$B$5,1)="/","","/")&amp;SUBSTITUTE(A979," ","%20"))</f>
        <v/>
      </c>
      <c r="I979" s="6" t="s">
        <v>29</v>
      </c>
      <c r="J979" s="6" t="s">
        <v>29</v>
      </c>
    </row>
    <row r="980" spans="1:10" ht="33.950000000000003" customHeight="1">
      <c r="A980" s="6" t="s">
        <v>29</v>
      </c>
      <c r="B980" s="6" t="s">
        <v>29</v>
      </c>
      <c r="C980" s="7" t="str">
        <f>IF(A980="","",IFERROR(IF(VLOOKUP(B980,Bibliotheques!$A$10:$B$59,2,FALSE)=0,"Nom manquant",VLOOKUP(B980,Bibliotheques!$A$10:$B$59,2,FALSE)),"Clé inconnue"))</f>
        <v/>
      </c>
      <c r="D980" s="6" t="s">
        <v>29</v>
      </c>
      <c r="E980" s="7" t="str">
        <f t="shared" si="15"/>
        <v/>
      </c>
      <c r="F980" s="6" t="s">
        <v>29</v>
      </c>
      <c r="G980" s="6" t="s">
        <v>29</v>
      </c>
      <c r="H980" s="8" t="str">
        <f>IF(A980="","",Bibliotheques!$B$5&amp;IF(RIGHT(Bibliotheques!$B$5,1)="/","","/")&amp;SUBSTITUTE(A980," ","%20"))</f>
        <v/>
      </c>
      <c r="I980" s="6" t="s">
        <v>29</v>
      </c>
      <c r="J980" s="6" t="s">
        <v>29</v>
      </c>
    </row>
    <row r="981" spans="1:10" ht="33.950000000000003" customHeight="1">
      <c r="A981" s="6" t="s">
        <v>29</v>
      </c>
      <c r="B981" s="6" t="s">
        <v>29</v>
      </c>
      <c r="C981" s="7" t="str">
        <f>IF(A981="","",IFERROR(IF(VLOOKUP(B981,Bibliotheques!$A$10:$B$59,2,FALSE)=0,"Nom manquant",VLOOKUP(B981,Bibliotheques!$A$10:$B$59,2,FALSE)),"Clé inconnue"))</f>
        <v/>
      </c>
      <c r="D981" s="6" t="s">
        <v>29</v>
      </c>
      <c r="E981" s="7" t="str">
        <f t="shared" si="15"/>
        <v/>
      </c>
      <c r="F981" s="6" t="s">
        <v>29</v>
      </c>
      <c r="G981" s="6" t="s">
        <v>29</v>
      </c>
      <c r="H981" s="8" t="str">
        <f>IF(A981="","",Bibliotheques!$B$5&amp;IF(RIGHT(Bibliotheques!$B$5,1)="/","","/")&amp;SUBSTITUTE(A981," ","%20"))</f>
        <v/>
      </c>
      <c r="I981" s="6" t="s">
        <v>29</v>
      </c>
      <c r="J981" s="6" t="s">
        <v>29</v>
      </c>
    </row>
    <row r="982" spans="1:10" ht="33.950000000000003" customHeight="1">
      <c r="A982" s="6" t="s">
        <v>29</v>
      </c>
      <c r="B982" s="6" t="s">
        <v>29</v>
      </c>
      <c r="C982" s="7" t="str">
        <f>IF(A982="","",IFERROR(IF(VLOOKUP(B982,Bibliotheques!$A$10:$B$59,2,FALSE)=0,"Nom manquant",VLOOKUP(B982,Bibliotheques!$A$10:$B$59,2,FALSE)),"Clé inconnue"))</f>
        <v/>
      </c>
      <c r="D982" s="6" t="s">
        <v>29</v>
      </c>
      <c r="E982" s="7" t="str">
        <f t="shared" si="15"/>
        <v/>
      </c>
      <c r="F982" s="6" t="s">
        <v>29</v>
      </c>
      <c r="G982" s="6" t="s">
        <v>29</v>
      </c>
      <c r="H982" s="8" t="str">
        <f>IF(A982="","",Bibliotheques!$B$5&amp;IF(RIGHT(Bibliotheques!$B$5,1)="/","","/")&amp;SUBSTITUTE(A982," ","%20"))</f>
        <v/>
      </c>
      <c r="I982" s="6" t="s">
        <v>29</v>
      </c>
      <c r="J982" s="6" t="s">
        <v>29</v>
      </c>
    </row>
    <row r="983" spans="1:10" ht="33.950000000000003" customHeight="1">
      <c r="A983" s="6" t="s">
        <v>29</v>
      </c>
      <c r="B983" s="6" t="s">
        <v>29</v>
      </c>
      <c r="C983" s="7" t="str">
        <f>IF(A983="","",IFERROR(IF(VLOOKUP(B983,Bibliotheques!$A$10:$B$59,2,FALSE)=0,"Nom manquant",VLOOKUP(B983,Bibliotheques!$A$10:$B$59,2,FALSE)),"Clé inconnue"))</f>
        <v/>
      </c>
      <c r="D983" s="6" t="s">
        <v>29</v>
      </c>
      <c r="E983" s="7" t="str">
        <f t="shared" si="15"/>
        <v/>
      </c>
      <c r="F983" s="6" t="s">
        <v>29</v>
      </c>
      <c r="G983" s="6" t="s">
        <v>29</v>
      </c>
      <c r="H983" s="8" t="str">
        <f>IF(A983="","",Bibliotheques!$B$5&amp;IF(RIGHT(Bibliotheques!$B$5,1)="/","","/")&amp;SUBSTITUTE(A983," ","%20"))</f>
        <v/>
      </c>
      <c r="I983" s="6" t="s">
        <v>29</v>
      </c>
      <c r="J983" s="6" t="s">
        <v>29</v>
      </c>
    </row>
    <row r="984" spans="1:10" ht="33.950000000000003" customHeight="1">
      <c r="A984" s="6" t="s">
        <v>29</v>
      </c>
      <c r="B984" s="6" t="s">
        <v>29</v>
      </c>
      <c r="C984" s="7" t="str">
        <f>IF(A984="","",IFERROR(IF(VLOOKUP(B984,Bibliotheques!$A$10:$B$59,2,FALSE)=0,"Nom manquant",VLOOKUP(B984,Bibliotheques!$A$10:$B$59,2,FALSE)),"Clé inconnue"))</f>
        <v/>
      </c>
      <c r="D984" s="6" t="s">
        <v>29</v>
      </c>
      <c r="E984" s="7" t="str">
        <f t="shared" si="15"/>
        <v/>
      </c>
      <c r="F984" s="6" t="s">
        <v>29</v>
      </c>
      <c r="G984" s="6" t="s">
        <v>29</v>
      </c>
      <c r="H984" s="8" t="str">
        <f>IF(A984="","",Bibliotheques!$B$5&amp;IF(RIGHT(Bibliotheques!$B$5,1)="/","","/")&amp;SUBSTITUTE(A984," ","%20"))</f>
        <v/>
      </c>
      <c r="I984" s="6" t="s">
        <v>29</v>
      </c>
      <c r="J984" s="6" t="s">
        <v>29</v>
      </c>
    </row>
    <row r="985" spans="1:10" ht="33.950000000000003" customHeight="1">
      <c r="A985" s="6" t="s">
        <v>29</v>
      </c>
      <c r="B985" s="6" t="s">
        <v>29</v>
      </c>
      <c r="C985" s="7" t="str">
        <f>IF(A985="","",IFERROR(IF(VLOOKUP(B985,Bibliotheques!$A$10:$B$59,2,FALSE)=0,"Nom manquant",VLOOKUP(B985,Bibliotheques!$A$10:$B$59,2,FALSE)),"Clé inconnue"))</f>
        <v/>
      </c>
      <c r="D985" s="6" t="s">
        <v>29</v>
      </c>
      <c r="E985" s="7" t="str">
        <f t="shared" si="15"/>
        <v/>
      </c>
      <c r="F985" s="6" t="s">
        <v>29</v>
      </c>
      <c r="G985" s="6" t="s">
        <v>29</v>
      </c>
      <c r="H985" s="8" t="str">
        <f>IF(A985="","",Bibliotheques!$B$5&amp;IF(RIGHT(Bibliotheques!$B$5,1)="/","","/")&amp;SUBSTITUTE(A985," ","%20"))</f>
        <v/>
      </c>
      <c r="I985" s="6" t="s">
        <v>29</v>
      </c>
      <c r="J985" s="6" t="s">
        <v>29</v>
      </c>
    </row>
    <row r="986" spans="1:10" ht="33.950000000000003" customHeight="1">
      <c r="A986" s="6" t="s">
        <v>29</v>
      </c>
      <c r="B986" s="6" t="s">
        <v>29</v>
      </c>
      <c r="C986" s="7" t="str">
        <f>IF(A986="","",IFERROR(IF(VLOOKUP(B986,Bibliotheques!$A$10:$B$59,2,FALSE)=0,"Nom manquant",VLOOKUP(B986,Bibliotheques!$A$10:$B$59,2,FALSE)),"Clé inconnue"))</f>
        <v/>
      </c>
      <c r="D986" s="6" t="s">
        <v>29</v>
      </c>
      <c r="E986" s="7" t="str">
        <f t="shared" si="15"/>
        <v/>
      </c>
      <c r="F986" s="6" t="s">
        <v>29</v>
      </c>
      <c r="G986" s="6" t="s">
        <v>29</v>
      </c>
      <c r="H986" s="8" t="str">
        <f>IF(A986="","",Bibliotheques!$B$5&amp;IF(RIGHT(Bibliotheques!$B$5,1)="/","","/")&amp;SUBSTITUTE(A986," ","%20"))</f>
        <v/>
      </c>
      <c r="I986" s="6" t="s">
        <v>29</v>
      </c>
      <c r="J986" s="6" t="s">
        <v>29</v>
      </c>
    </row>
    <row r="987" spans="1:10" ht="33.950000000000003" customHeight="1">
      <c r="A987" s="6" t="s">
        <v>29</v>
      </c>
      <c r="B987" s="6" t="s">
        <v>29</v>
      </c>
      <c r="C987" s="7" t="str">
        <f>IF(A987="","",IFERROR(IF(VLOOKUP(B987,Bibliotheques!$A$10:$B$59,2,FALSE)=0,"Nom manquant",VLOOKUP(B987,Bibliotheques!$A$10:$B$59,2,FALSE)),"Clé inconnue"))</f>
        <v/>
      </c>
      <c r="D987" s="6" t="s">
        <v>29</v>
      </c>
      <c r="E987" s="7" t="str">
        <f t="shared" si="15"/>
        <v/>
      </c>
      <c r="F987" s="6" t="s">
        <v>29</v>
      </c>
      <c r="G987" s="6" t="s">
        <v>29</v>
      </c>
      <c r="H987" s="8" t="str">
        <f>IF(A987="","",Bibliotheques!$B$5&amp;IF(RIGHT(Bibliotheques!$B$5,1)="/","","/")&amp;SUBSTITUTE(A987," ","%20"))</f>
        <v/>
      </c>
      <c r="I987" s="6" t="s">
        <v>29</v>
      </c>
      <c r="J987" s="6" t="s">
        <v>29</v>
      </c>
    </row>
    <row r="988" spans="1:10" ht="33.950000000000003" customHeight="1">
      <c r="A988" s="6" t="s">
        <v>29</v>
      </c>
      <c r="B988" s="6" t="s">
        <v>29</v>
      </c>
      <c r="C988" s="7" t="str">
        <f>IF(A988="","",IFERROR(IF(VLOOKUP(B988,Bibliotheques!$A$10:$B$59,2,FALSE)=0,"Nom manquant",VLOOKUP(B988,Bibliotheques!$A$10:$B$59,2,FALSE)),"Clé inconnue"))</f>
        <v/>
      </c>
      <c r="D988" s="6" t="s">
        <v>29</v>
      </c>
      <c r="E988" s="7" t="str">
        <f t="shared" si="15"/>
        <v/>
      </c>
      <c r="F988" s="6" t="s">
        <v>29</v>
      </c>
      <c r="G988" s="6" t="s">
        <v>29</v>
      </c>
      <c r="H988" s="8" t="str">
        <f>IF(A988="","",Bibliotheques!$B$5&amp;IF(RIGHT(Bibliotheques!$B$5,1)="/","","/")&amp;SUBSTITUTE(A988," ","%20"))</f>
        <v/>
      </c>
      <c r="I988" s="6" t="s">
        <v>29</v>
      </c>
      <c r="J988" s="6" t="s">
        <v>29</v>
      </c>
    </row>
    <row r="989" spans="1:10" ht="33.950000000000003" customHeight="1">
      <c r="A989" s="6" t="s">
        <v>29</v>
      </c>
      <c r="B989" s="6" t="s">
        <v>29</v>
      </c>
      <c r="C989" s="7" t="str">
        <f>IF(A989="","",IFERROR(IF(VLOOKUP(B989,Bibliotheques!$A$10:$B$59,2,FALSE)=0,"Nom manquant",VLOOKUP(B989,Bibliotheques!$A$10:$B$59,2,FALSE)),"Clé inconnue"))</f>
        <v/>
      </c>
      <c r="D989" s="6" t="s">
        <v>29</v>
      </c>
      <c r="E989" s="7" t="str">
        <f t="shared" si="15"/>
        <v/>
      </c>
      <c r="F989" s="6" t="s">
        <v>29</v>
      </c>
      <c r="G989" s="6" t="s">
        <v>29</v>
      </c>
      <c r="H989" s="8" t="str">
        <f>IF(A989="","",Bibliotheques!$B$5&amp;IF(RIGHT(Bibliotheques!$B$5,1)="/","","/")&amp;SUBSTITUTE(A989," ","%20"))</f>
        <v/>
      </c>
      <c r="I989" s="6" t="s">
        <v>29</v>
      </c>
      <c r="J989" s="6" t="s">
        <v>29</v>
      </c>
    </row>
    <row r="990" spans="1:10" ht="33.950000000000003" customHeight="1">
      <c r="A990" s="6" t="s">
        <v>29</v>
      </c>
      <c r="B990" s="6" t="s">
        <v>29</v>
      </c>
      <c r="C990" s="7" t="str">
        <f>IF(A990="","",IFERROR(IF(VLOOKUP(B990,Bibliotheques!$A$10:$B$59,2,FALSE)=0,"Nom manquant",VLOOKUP(B990,Bibliotheques!$A$10:$B$59,2,FALSE)),"Clé inconnue"))</f>
        <v/>
      </c>
      <c r="D990" s="6" t="s">
        <v>29</v>
      </c>
      <c r="E990" s="7" t="str">
        <f t="shared" si="15"/>
        <v/>
      </c>
      <c r="F990" s="6" t="s">
        <v>29</v>
      </c>
      <c r="G990" s="6" t="s">
        <v>29</v>
      </c>
      <c r="H990" s="8" t="str">
        <f>IF(A990="","",Bibliotheques!$B$5&amp;IF(RIGHT(Bibliotheques!$B$5,1)="/","","/")&amp;SUBSTITUTE(A990," ","%20"))</f>
        <v/>
      </c>
      <c r="I990" s="6" t="s">
        <v>29</v>
      </c>
      <c r="J990" s="6" t="s">
        <v>29</v>
      </c>
    </row>
    <row r="991" spans="1:10" ht="33.950000000000003" customHeight="1">
      <c r="A991" s="6" t="s">
        <v>29</v>
      </c>
      <c r="B991" s="6" t="s">
        <v>29</v>
      </c>
      <c r="C991" s="7" t="str">
        <f>IF(A991="","",IFERROR(IF(VLOOKUP(B991,Bibliotheques!$A$10:$B$59,2,FALSE)=0,"Nom manquant",VLOOKUP(B991,Bibliotheques!$A$10:$B$59,2,FALSE)),"Clé inconnue"))</f>
        <v/>
      </c>
      <c r="D991" s="6" t="s">
        <v>29</v>
      </c>
      <c r="E991" s="7" t="str">
        <f t="shared" si="15"/>
        <v/>
      </c>
      <c r="F991" s="6" t="s">
        <v>29</v>
      </c>
      <c r="G991" s="6" t="s">
        <v>29</v>
      </c>
      <c r="H991" s="8" t="str">
        <f>IF(A991="","",Bibliotheques!$B$5&amp;IF(RIGHT(Bibliotheques!$B$5,1)="/","","/")&amp;SUBSTITUTE(A991," ","%20"))</f>
        <v/>
      </c>
      <c r="I991" s="6" t="s">
        <v>29</v>
      </c>
      <c r="J991" s="6" t="s">
        <v>29</v>
      </c>
    </row>
    <row r="992" spans="1:10" ht="33.950000000000003" customHeight="1">
      <c r="A992" s="6" t="s">
        <v>29</v>
      </c>
      <c r="B992" s="6" t="s">
        <v>29</v>
      </c>
      <c r="C992" s="7" t="str">
        <f>IF(A992="","",IFERROR(IF(VLOOKUP(B992,Bibliotheques!$A$10:$B$59,2,FALSE)=0,"Nom manquant",VLOOKUP(B992,Bibliotheques!$A$10:$B$59,2,FALSE)),"Clé inconnue"))</f>
        <v/>
      </c>
      <c r="D992" s="6" t="s">
        <v>29</v>
      </c>
      <c r="E992" s="7" t="str">
        <f t="shared" si="15"/>
        <v/>
      </c>
      <c r="F992" s="6" t="s">
        <v>29</v>
      </c>
      <c r="G992" s="6" t="s">
        <v>29</v>
      </c>
      <c r="H992" s="8" t="str">
        <f>IF(A992="","",Bibliotheques!$B$5&amp;IF(RIGHT(Bibliotheques!$B$5,1)="/","","/")&amp;SUBSTITUTE(A992," ","%20"))</f>
        <v/>
      </c>
      <c r="I992" s="6" t="s">
        <v>29</v>
      </c>
      <c r="J992" s="6" t="s">
        <v>29</v>
      </c>
    </row>
    <row r="993" spans="1:10" ht="33.950000000000003" customHeight="1">
      <c r="A993" s="6" t="s">
        <v>29</v>
      </c>
      <c r="B993" s="6" t="s">
        <v>29</v>
      </c>
      <c r="C993" s="7" t="str">
        <f>IF(A993="","",IFERROR(IF(VLOOKUP(B993,Bibliotheques!$A$10:$B$59,2,FALSE)=0,"Nom manquant",VLOOKUP(B993,Bibliotheques!$A$10:$B$59,2,FALSE)),"Clé inconnue"))</f>
        <v/>
      </c>
      <c r="D993" s="6" t="s">
        <v>29</v>
      </c>
      <c r="E993" s="7" t="str">
        <f t="shared" si="15"/>
        <v/>
      </c>
      <c r="F993" s="6" t="s">
        <v>29</v>
      </c>
      <c r="G993" s="6" t="s">
        <v>29</v>
      </c>
      <c r="H993" s="8" t="str">
        <f>IF(A993="","",Bibliotheques!$B$5&amp;IF(RIGHT(Bibliotheques!$B$5,1)="/","","/")&amp;SUBSTITUTE(A993," ","%20"))</f>
        <v/>
      </c>
      <c r="I993" s="6" t="s">
        <v>29</v>
      </c>
      <c r="J993" s="6" t="s">
        <v>29</v>
      </c>
    </row>
    <row r="994" spans="1:10" ht="33.950000000000003" customHeight="1">
      <c r="A994" s="6" t="s">
        <v>29</v>
      </c>
      <c r="B994" s="6" t="s">
        <v>29</v>
      </c>
      <c r="C994" s="7" t="str">
        <f>IF(A994="","",IFERROR(IF(VLOOKUP(B994,Bibliotheques!$A$10:$B$59,2,FALSE)=0,"Nom manquant",VLOOKUP(B994,Bibliotheques!$A$10:$B$59,2,FALSE)),"Clé inconnue"))</f>
        <v/>
      </c>
      <c r="D994" s="6" t="s">
        <v>29</v>
      </c>
      <c r="E994" s="7" t="str">
        <f t="shared" si="15"/>
        <v/>
      </c>
      <c r="F994" s="6" t="s">
        <v>29</v>
      </c>
      <c r="G994" s="6" t="s">
        <v>29</v>
      </c>
      <c r="H994" s="8" t="str">
        <f>IF(A994="","",Bibliotheques!$B$5&amp;IF(RIGHT(Bibliotheques!$B$5,1)="/","","/")&amp;SUBSTITUTE(A994," ","%20"))</f>
        <v/>
      </c>
      <c r="I994" s="6" t="s">
        <v>29</v>
      </c>
      <c r="J994" s="6" t="s">
        <v>29</v>
      </c>
    </row>
    <row r="995" spans="1:10" ht="33.950000000000003" customHeight="1">
      <c r="A995" s="6" t="s">
        <v>29</v>
      </c>
      <c r="B995" s="6" t="s">
        <v>29</v>
      </c>
      <c r="C995" s="7" t="str">
        <f>IF(A995="","",IFERROR(IF(VLOOKUP(B995,Bibliotheques!$A$10:$B$59,2,FALSE)=0,"Nom manquant",VLOOKUP(B995,Bibliotheques!$A$10:$B$59,2,FALSE)),"Clé inconnue"))</f>
        <v/>
      </c>
      <c r="D995" s="6" t="s">
        <v>29</v>
      </c>
      <c r="E995" s="7" t="str">
        <f t="shared" si="15"/>
        <v/>
      </c>
      <c r="F995" s="6" t="s">
        <v>29</v>
      </c>
      <c r="G995" s="6" t="s">
        <v>29</v>
      </c>
      <c r="H995" s="8" t="str">
        <f>IF(A995="","",Bibliotheques!$B$5&amp;IF(RIGHT(Bibliotheques!$B$5,1)="/","","/")&amp;SUBSTITUTE(A995," ","%20"))</f>
        <v/>
      </c>
      <c r="I995" s="6" t="s">
        <v>29</v>
      </c>
      <c r="J995" s="6" t="s">
        <v>29</v>
      </c>
    </row>
    <row r="996" spans="1:10" ht="33.950000000000003" customHeight="1">
      <c r="A996" s="6" t="s">
        <v>29</v>
      </c>
      <c r="B996" s="6" t="s">
        <v>29</v>
      </c>
      <c r="C996" s="7" t="str">
        <f>IF(A996="","",IFERROR(IF(VLOOKUP(B996,Bibliotheques!$A$10:$B$59,2,FALSE)=0,"Nom manquant",VLOOKUP(B996,Bibliotheques!$A$10:$B$59,2,FALSE)),"Clé inconnue"))</f>
        <v/>
      </c>
      <c r="D996" s="6" t="s">
        <v>29</v>
      </c>
      <c r="E996" s="7" t="str">
        <f t="shared" si="15"/>
        <v/>
      </c>
      <c r="F996" s="6" t="s">
        <v>29</v>
      </c>
      <c r="G996" s="6" t="s">
        <v>29</v>
      </c>
      <c r="H996" s="8" t="str">
        <f>IF(A996="","",Bibliotheques!$B$5&amp;IF(RIGHT(Bibliotheques!$B$5,1)="/","","/")&amp;SUBSTITUTE(A996," ","%20"))</f>
        <v/>
      </c>
      <c r="I996" s="6" t="s">
        <v>29</v>
      </c>
      <c r="J996" s="6" t="s">
        <v>29</v>
      </c>
    </row>
    <row r="997" spans="1:10" ht="33.950000000000003" customHeight="1">
      <c r="A997" s="6" t="s">
        <v>29</v>
      </c>
      <c r="B997" s="6" t="s">
        <v>29</v>
      </c>
      <c r="C997" s="7" t="str">
        <f>IF(A997="","",IFERROR(IF(VLOOKUP(B997,Bibliotheques!$A$10:$B$59,2,FALSE)=0,"Nom manquant",VLOOKUP(B997,Bibliotheques!$A$10:$B$59,2,FALSE)),"Clé inconnue"))</f>
        <v/>
      </c>
      <c r="D997" s="6" t="s">
        <v>29</v>
      </c>
      <c r="E997" s="7" t="str">
        <f t="shared" si="15"/>
        <v/>
      </c>
      <c r="F997" s="6" t="s">
        <v>29</v>
      </c>
      <c r="G997" s="6" t="s">
        <v>29</v>
      </c>
      <c r="H997" s="8" t="str">
        <f>IF(A997="","",Bibliotheques!$B$5&amp;IF(RIGHT(Bibliotheques!$B$5,1)="/","","/")&amp;SUBSTITUTE(A997," ","%20"))</f>
        <v/>
      </c>
      <c r="I997" s="6" t="s">
        <v>29</v>
      </c>
      <c r="J997" s="6" t="s">
        <v>29</v>
      </c>
    </row>
    <row r="998" spans="1:10" ht="33.950000000000003" customHeight="1">
      <c r="A998" s="6" t="s">
        <v>29</v>
      </c>
      <c r="B998" s="6" t="s">
        <v>29</v>
      </c>
      <c r="C998" s="7" t="str">
        <f>IF(A998="","",IFERROR(IF(VLOOKUP(B998,Bibliotheques!$A$10:$B$59,2,FALSE)=0,"Nom manquant",VLOOKUP(B998,Bibliotheques!$A$10:$B$59,2,FALSE)),"Clé inconnue"))</f>
        <v/>
      </c>
      <c r="D998" s="6" t="s">
        <v>29</v>
      </c>
      <c r="E998" s="7" t="str">
        <f t="shared" si="15"/>
        <v/>
      </c>
      <c r="F998" s="6" t="s">
        <v>29</v>
      </c>
      <c r="G998" s="6" t="s">
        <v>29</v>
      </c>
      <c r="H998" s="8" t="str">
        <f>IF(A998="","",Bibliotheques!$B$5&amp;IF(RIGHT(Bibliotheques!$B$5,1)="/","","/")&amp;SUBSTITUTE(A998," ","%20"))</f>
        <v/>
      </c>
      <c r="I998" s="6" t="s">
        <v>29</v>
      </c>
      <c r="J998" s="6" t="s">
        <v>29</v>
      </c>
    </row>
    <row r="999" spans="1:10" ht="33.950000000000003" customHeight="1">
      <c r="A999" s="6" t="s">
        <v>29</v>
      </c>
      <c r="B999" s="6" t="s">
        <v>29</v>
      </c>
      <c r="C999" s="7" t="str">
        <f>IF(A999="","",IFERROR(IF(VLOOKUP(B999,Bibliotheques!$A$10:$B$59,2,FALSE)=0,"Nom manquant",VLOOKUP(B999,Bibliotheques!$A$10:$B$59,2,FALSE)),"Clé inconnue"))</f>
        <v/>
      </c>
      <c r="D999" s="6" t="s">
        <v>29</v>
      </c>
      <c r="E999" s="7" t="str">
        <f t="shared" si="15"/>
        <v/>
      </c>
      <c r="F999" s="6" t="s">
        <v>29</v>
      </c>
      <c r="G999" s="6" t="s">
        <v>29</v>
      </c>
      <c r="H999" s="8" t="str">
        <f>IF(A999="","",Bibliotheques!$B$5&amp;IF(RIGHT(Bibliotheques!$B$5,1)="/","","/")&amp;SUBSTITUTE(A999," ","%20"))</f>
        <v/>
      </c>
      <c r="I999" s="6" t="s">
        <v>29</v>
      </c>
      <c r="J999" s="6" t="s">
        <v>29</v>
      </c>
    </row>
    <row r="1000" spans="1:10" ht="33.950000000000003" customHeight="1">
      <c r="A1000" s="6" t="s">
        <v>29</v>
      </c>
      <c r="B1000" s="6" t="s">
        <v>29</v>
      </c>
      <c r="C1000" s="7" t="str">
        <f>IF(A1000="","",IFERROR(IF(VLOOKUP(B1000,Bibliotheques!$A$10:$B$59,2,FALSE)=0,"Nom manquant",VLOOKUP(B1000,Bibliotheques!$A$10:$B$59,2,FALSE)),"Clé inconnue"))</f>
        <v/>
      </c>
      <c r="D1000" s="6" t="s">
        <v>29</v>
      </c>
      <c r="E1000" s="7" t="str">
        <f t="shared" si="15"/>
        <v/>
      </c>
      <c r="F1000" s="6" t="s">
        <v>29</v>
      </c>
      <c r="G1000" s="6" t="s">
        <v>29</v>
      </c>
      <c r="H1000" s="8" t="str">
        <f>IF(A1000="","",Bibliotheques!$B$5&amp;IF(RIGHT(Bibliotheques!$B$5,1)="/","","/")&amp;SUBSTITUTE(A1000," ","%20"))</f>
        <v/>
      </c>
      <c r="I1000" s="6" t="s">
        <v>29</v>
      </c>
      <c r="J1000" s="6" t="s">
        <v>29</v>
      </c>
    </row>
    <row r="1001" spans="1:10" ht="33.950000000000003" customHeight="1">
      <c r="A1001" s="6" t="s">
        <v>29</v>
      </c>
      <c r="B1001" s="6" t="s">
        <v>29</v>
      </c>
      <c r="C1001" s="7" t="str">
        <f>IF(A1001="","",IFERROR(IF(VLOOKUP(B1001,Bibliotheques!$A$10:$B$59,2,FALSE)=0,"Nom manquant",VLOOKUP(B1001,Bibliotheques!$A$10:$B$59,2,FALSE)),"Clé inconnue"))</f>
        <v/>
      </c>
      <c r="D1001" s="6" t="s">
        <v>29</v>
      </c>
      <c r="E1001" s="7" t="str">
        <f t="shared" si="15"/>
        <v/>
      </c>
      <c r="F1001" s="6" t="s">
        <v>29</v>
      </c>
      <c r="G1001" s="6" t="s">
        <v>29</v>
      </c>
      <c r="H1001" s="8" t="str">
        <f>IF(A1001="","",Bibliotheques!$B$5&amp;IF(RIGHT(Bibliotheques!$B$5,1)="/","","/")&amp;SUBSTITUTE(A1001," ","%20"))</f>
        <v/>
      </c>
      <c r="I1001" s="6" t="s">
        <v>29</v>
      </c>
      <c r="J1001" s="6" t="s">
        <v>29</v>
      </c>
    </row>
    <row r="1002" spans="1:10" ht="33.950000000000003" customHeight="1">
      <c r="A1002" s="6" t="s">
        <v>29</v>
      </c>
      <c r="B1002" s="6" t="s">
        <v>29</v>
      </c>
      <c r="C1002" s="7" t="str">
        <f>IF(A1002="","",IFERROR(IF(VLOOKUP(B1002,Bibliotheques!$A$10:$B$59,2,FALSE)=0,"Nom manquant",VLOOKUP(B1002,Bibliotheques!$A$10:$B$59,2,FALSE)),"Clé inconnue"))</f>
        <v/>
      </c>
      <c r="D1002" s="6" t="s">
        <v>29</v>
      </c>
      <c r="E1002" s="7" t="str">
        <f t="shared" si="15"/>
        <v/>
      </c>
      <c r="F1002" s="6" t="s">
        <v>29</v>
      </c>
      <c r="G1002" s="6" t="s">
        <v>29</v>
      </c>
      <c r="H1002" s="8" t="str">
        <f>IF(A1002="","",Bibliotheques!$B$5&amp;IF(RIGHT(Bibliotheques!$B$5,1)="/","","/")&amp;SUBSTITUTE(A1002," ","%20"))</f>
        <v/>
      </c>
      <c r="I1002" s="6" t="s">
        <v>29</v>
      </c>
      <c r="J1002" s="6" t="s">
        <v>29</v>
      </c>
    </row>
    <row r="1003" spans="1:10" ht="33.950000000000003" customHeight="1">
      <c r="A1003" s="6" t="s">
        <v>29</v>
      </c>
      <c r="B1003" s="6" t="s">
        <v>29</v>
      </c>
      <c r="C1003" s="7" t="str">
        <f>IF(A1003="","",IFERROR(IF(VLOOKUP(B1003,Bibliotheques!$A$10:$B$59,2,FALSE)=0,"Nom manquant",VLOOKUP(B1003,Bibliotheques!$A$10:$B$59,2,FALSE)),"Clé inconnue"))</f>
        <v/>
      </c>
      <c r="D1003" s="6" t="s">
        <v>29</v>
      </c>
      <c r="E1003" s="7" t="str">
        <f t="shared" si="15"/>
        <v/>
      </c>
      <c r="F1003" s="6" t="s">
        <v>29</v>
      </c>
      <c r="G1003" s="6" t="s">
        <v>29</v>
      </c>
      <c r="H1003" s="8" t="str">
        <f>IF(A1003="","",Bibliotheques!$B$5&amp;IF(RIGHT(Bibliotheques!$B$5,1)="/","","/")&amp;SUBSTITUTE(A1003," ","%20"))</f>
        <v/>
      </c>
      <c r="I1003" s="6" t="s">
        <v>29</v>
      </c>
      <c r="J1003" s="6" t="s">
        <v>29</v>
      </c>
    </row>
    <row r="1004" spans="1:10" ht="33.950000000000003" customHeight="1">
      <c r="A1004" s="6" t="s">
        <v>29</v>
      </c>
      <c r="B1004" s="6" t="s">
        <v>29</v>
      </c>
      <c r="C1004" s="7" t="str">
        <f>IF(A1004="","",IFERROR(IF(VLOOKUP(B1004,Bibliotheques!$A$10:$B$59,2,FALSE)=0,"Nom manquant",VLOOKUP(B1004,Bibliotheques!$A$10:$B$59,2,FALSE)),"Clé inconnue"))</f>
        <v/>
      </c>
      <c r="D1004" s="6" t="s">
        <v>29</v>
      </c>
      <c r="E1004" s="7" t="str">
        <f t="shared" si="15"/>
        <v/>
      </c>
      <c r="F1004" s="6" t="s">
        <v>29</v>
      </c>
      <c r="G1004" s="6" t="s">
        <v>29</v>
      </c>
      <c r="H1004" s="8" t="str">
        <f>IF(A1004="","",Bibliotheques!$B$5&amp;IF(RIGHT(Bibliotheques!$B$5,1)="/","","/")&amp;SUBSTITUTE(A1004," ","%20"))</f>
        <v/>
      </c>
      <c r="I1004" s="6" t="s">
        <v>29</v>
      </c>
      <c r="J1004" s="6" t="s">
        <v>29</v>
      </c>
    </row>
    <row r="1005" spans="1:10" ht="33.950000000000003" customHeight="1">
      <c r="A1005" s="6" t="s">
        <v>29</v>
      </c>
      <c r="B1005" s="6" t="s">
        <v>29</v>
      </c>
      <c r="C1005" s="7" t="str">
        <f>IF(A1005="","",IFERROR(IF(VLOOKUP(B1005,Bibliotheques!$A$10:$B$59,2,FALSE)=0,"Nom manquant",VLOOKUP(B1005,Bibliotheques!$A$10:$B$59,2,FALSE)),"Clé inconnue"))</f>
        <v/>
      </c>
      <c r="D1005" s="6" t="s">
        <v>29</v>
      </c>
      <c r="E1005" s="7" t="str">
        <f t="shared" si="15"/>
        <v/>
      </c>
      <c r="F1005" s="6" t="s">
        <v>29</v>
      </c>
      <c r="G1005" s="6" t="s">
        <v>29</v>
      </c>
      <c r="H1005" s="8" t="str">
        <f>IF(A1005="","",Bibliotheques!$B$5&amp;IF(RIGHT(Bibliotheques!$B$5,1)="/","","/")&amp;SUBSTITUTE(A1005," ","%20"))</f>
        <v/>
      </c>
      <c r="I1005" s="6" t="s">
        <v>29</v>
      </c>
      <c r="J1005" s="6" t="s">
        <v>29</v>
      </c>
    </row>
  </sheetData>
  <dataValidations count="5">
    <dataValidation type="list" sqref="B6:B1005" xr:uid="{00000000-0002-0000-0000-000000000000}">
      <formula1>INDIRECT("Bibliotheques!$A$10:$A$59")</formula1>
    </dataValidation>
    <dataValidation type="list" sqref="F6:F1005" xr:uid="{00000000-0002-0000-0000-000001000000}">
      <formula1>INDIRECT("Listes!$A$2:$A$7")</formula1>
    </dataValidation>
    <dataValidation type="list" sqref="G6:G1005" xr:uid="{00000000-0002-0000-0000-000002000000}">
      <formula1>INDIRECT("Listes!$C$2:$C$201")</formula1>
    </dataValidation>
    <dataValidation type="list" sqref="I6:I1005" xr:uid="{00000000-0002-0000-0000-000003000000}">
      <formula1>"Oui,Non"</formula1>
    </dataValidation>
    <dataValidation type="list" sqref="J6:J1005" xr:uid="{00000000-0002-0000-0000-000004000000}">
      <formula1>"icon,button"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8AC9EA"/>
  </sheetPr>
  <dimension ref="A1:D59"/>
  <sheetViews>
    <sheetView showGridLines="0" tabSelected="1" workbookViewId="0">
      <selection activeCell="D20" sqref="D20"/>
    </sheetView>
  </sheetViews>
  <sheetFormatPr baseColWidth="10" defaultColWidth="9" defaultRowHeight="14.25"/>
  <cols>
    <col min="1" max="1" width="29" customWidth="1"/>
    <col min="2" max="2" width="83" customWidth="1"/>
    <col min="4" max="4" width="96" customWidth="1"/>
  </cols>
  <sheetData>
    <row r="1" spans="1:4">
      <c r="A1" s="1"/>
      <c r="B1" s="1"/>
      <c r="C1" s="1"/>
      <c r="D1" s="1"/>
    </row>
    <row r="2" spans="1:4" ht="19.5">
      <c r="A2" s="2" t="s">
        <v>30</v>
      </c>
      <c r="B2" s="1"/>
      <c r="C2" s="1"/>
      <c r="D2" s="1"/>
    </row>
    <row r="3" spans="1:4">
      <c r="A3" s="1"/>
      <c r="B3" s="1"/>
      <c r="C3" s="1"/>
      <c r="D3" s="1"/>
    </row>
    <row r="4" spans="1:4" ht="24" customHeight="1">
      <c r="A4" s="1" t="s">
        <v>31</v>
      </c>
      <c r="B4" s="9" t="s">
        <v>32</v>
      </c>
      <c r="C4" s="1"/>
      <c r="D4" s="10" t="s">
        <v>33</v>
      </c>
    </row>
    <row r="5" spans="1:4" ht="24" customHeight="1">
      <c r="A5" s="1" t="s">
        <v>34</v>
      </c>
      <c r="B5" s="11"/>
      <c r="C5" s="1"/>
      <c r="D5" s="10" t="s">
        <v>35</v>
      </c>
    </row>
    <row r="6" spans="1:4" ht="24" customHeight="1">
      <c r="A6" s="1" t="s">
        <v>36</v>
      </c>
      <c r="B6" s="9" t="s">
        <v>37</v>
      </c>
      <c r="C6" s="1"/>
      <c r="D6" s="10" t="s">
        <v>38</v>
      </c>
    </row>
    <row r="7" spans="1:4" ht="24" customHeight="1">
      <c r="A7" s="1" t="s">
        <v>39</v>
      </c>
      <c r="B7" s="9" t="s">
        <v>40</v>
      </c>
      <c r="C7" s="1"/>
      <c r="D7" s="10" t="s">
        <v>41</v>
      </c>
    </row>
    <row r="8" spans="1:4" ht="24" customHeight="1">
      <c r="A8" s="1"/>
      <c r="B8" s="1"/>
      <c r="C8" s="1"/>
      <c r="D8" s="10" t="s">
        <v>42</v>
      </c>
    </row>
    <row r="9" spans="1:4" ht="24" customHeight="1">
      <c r="A9" s="4" t="s">
        <v>3</v>
      </c>
      <c r="B9" s="4" t="s">
        <v>4</v>
      </c>
      <c r="C9" s="1"/>
      <c r="D9" s="10" t="s">
        <v>43</v>
      </c>
    </row>
    <row r="10" spans="1:4" ht="24" customHeight="1">
      <c r="A10" s="7" t="s">
        <v>13</v>
      </c>
      <c r="B10" s="6" t="s">
        <v>44</v>
      </c>
      <c r="C10" s="1"/>
      <c r="D10" s="10" t="s">
        <v>45</v>
      </c>
    </row>
    <row r="11" spans="1:4" ht="24" customHeight="1">
      <c r="A11" s="7" t="s">
        <v>46</v>
      </c>
      <c r="B11" s="6" t="s">
        <v>113</v>
      </c>
      <c r="C11" s="1"/>
      <c r="D11" s="10" t="s">
        <v>47</v>
      </c>
    </row>
    <row r="12" spans="1:4" ht="24" customHeight="1">
      <c r="A12" s="7" t="s">
        <v>48</v>
      </c>
      <c r="B12" s="6" t="s">
        <v>29</v>
      </c>
      <c r="C12" s="1"/>
      <c r="D12" s="10" t="s">
        <v>49</v>
      </c>
    </row>
    <row r="13" spans="1:4" ht="24" customHeight="1">
      <c r="A13" s="7" t="s">
        <v>50</v>
      </c>
      <c r="B13" s="6" t="s">
        <v>29</v>
      </c>
      <c r="C13" s="1"/>
      <c r="D13" s="10" t="s">
        <v>51</v>
      </c>
    </row>
    <row r="14" spans="1:4" ht="24" customHeight="1">
      <c r="A14" s="7" t="s">
        <v>52</v>
      </c>
      <c r="B14" s="6" t="s">
        <v>29</v>
      </c>
      <c r="C14" s="1"/>
      <c r="D14" s="10" t="s">
        <v>53</v>
      </c>
    </row>
    <row r="15" spans="1:4" ht="24" customHeight="1">
      <c r="A15" s="7" t="s">
        <v>54</v>
      </c>
      <c r="B15" s="6" t="s">
        <v>29</v>
      </c>
      <c r="C15" s="1"/>
      <c r="D15" s="10" t="s">
        <v>55</v>
      </c>
    </row>
    <row r="16" spans="1:4" ht="24" customHeight="1">
      <c r="A16" s="7" t="s">
        <v>56</v>
      </c>
      <c r="B16" s="6" t="s">
        <v>29</v>
      </c>
      <c r="C16" s="1"/>
      <c r="D16" s="10" t="s">
        <v>57</v>
      </c>
    </row>
    <row r="17" spans="1:4" ht="24" customHeight="1">
      <c r="A17" s="7" t="s">
        <v>58</v>
      </c>
      <c r="B17" s="6" t="s">
        <v>29</v>
      </c>
      <c r="C17" s="1"/>
      <c r="D17" s="1"/>
    </row>
    <row r="18" spans="1:4" ht="24" customHeight="1">
      <c r="A18" s="7" t="s">
        <v>59</v>
      </c>
      <c r="B18" s="6" t="s">
        <v>29</v>
      </c>
      <c r="C18" s="1"/>
      <c r="D18" s="1"/>
    </row>
    <row r="19" spans="1:4" ht="24" customHeight="1">
      <c r="A19" s="7" t="s">
        <v>60</v>
      </c>
      <c r="B19" s="6" t="s">
        <v>29</v>
      </c>
      <c r="C19" s="1"/>
      <c r="D19" s="1"/>
    </row>
    <row r="20" spans="1:4" ht="24" customHeight="1">
      <c r="A20" s="7" t="s">
        <v>61</v>
      </c>
      <c r="B20" s="6" t="s">
        <v>29</v>
      </c>
      <c r="C20" s="1"/>
      <c r="D20" s="1"/>
    </row>
    <row r="21" spans="1:4" ht="24" customHeight="1">
      <c r="A21" s="7" t="s">
        <v>62</v>
      </c>
      <c r="B21" s="6" t="s">
        <v>29</v>
      </c>
      <c r="C21" s="1"/>
      <c r="D21" s="1"/>
    </row>
    <row r="22" spans="1:4" ht="24" customHeight="1">
      <c r="A22" s="7" t="s">
        <v>63</v>
      </c>
      <c r="B22" s="6" t="s">
        <v>29</v>
      </c>
      <c r="C22" s="1"/>
      <c r="D22" s="1"/>
    </row>
    <row r="23" spans="1:4" ht="24" customHeight="1">
      <c r="A23" s="7" t="s">
        <v>64</v>
      </c>
      <c r="B23" s="6" t="s">
        <v>29</v>
      </c>
      <c r="C23" s="1"/>
      <c r="D23" s="1"/>
    </row>
    <row r="24" spans="1:4" ht="24" customHeight="1">
      <c r="A24" s="7" t="s">
        <v>65</v>
      </c>
      <c r="B24" s="6" t="s">
        <v>29</v>
      </c>
      <c r="C24" s="1"/>
      <c r="D24" s="1"/>
    </row>
    <row r="25" spans="1:4" ht="24" customHeight="1">
      <c r="A25" s="7" t="s">
        <v>66</v>
      </c>
      <c r="B25" s="6" t="s">
        <v>29</v>
      </c>
      <c r="C25" s="1"/>
      <c r="D25" s="1"/>
    </row>
    <row r="26" spans="1:4" ht="24" customHeight="1">
      <c r="A26" s="7" t="s">
        <v>67</v>
      </c>
      <c r="B26" s="6" t="s">
        <v>29</v>
      </c>
      <c r="C26" s="1"/>
      <c r="D26" s="1"/>
    </row>
    <row r="27" spans="1:4" ht="24" customHeight="1">
      <c r="A27" s="7" t="s">
        <v>68</v>
      </c>
      <c r="B27" s="6" t="s">
        <v>29</v>
      </c>
      <c r="C27" s="1"/>
      <c r="D27" s="1"/>
    </row>
    <row r="28" spans="1:4" ht="24" customHeight="1">
      <c r="A28" s="7" t="s">
        <v>69</v>
      </c>
      <c r="B28" s="6" t="s">
        <v>29</v>
      </c>
      <c r="C28" s="1"/>
      <c r="D28" s="1"/>
    </row>
    <row r="29" spans="1:4" ht="24" customHeight="1">
      <c r="A29" s="7" t="s">
        <v>70</v>
      </c>
      <c r="B29" s="6" t="s">
        <v>29</v>
      </c>
      <c r="C29" s="1"/>
      <c r="D29" s="1"/>
    </row>
    <row r="30" spans="1:4" ht="24" customHeight="1">
      <c r="A30" s="7" t="s">
        <v>71</v>
      </c>
      <c r="B30" s="6" t="s">
        <v>29</v>
      </c>
      <c r="C30" s="1"/>
      <c r="D30" s="1"/>
    </row>
    <row r="31" spans="1:4" ht="24" customHeight="1">
      <c r="A31" s="7" t="s">
        <v>72</v>
      </c>
      <c r="B31" s="6" t="s">
        <v>29</v>
      </c>
      <c r="C31" s="1"/>
      <c r="D31" s="1"/>
    </row>
    <row r="32" spans="1:4" ht="24" customHeight="1">
      <c r="A32" s="7" t="s">
        <v>73</v>
      </c>
      <c r="B32" s="6" t="s">
        <v>29</v>
      </c>
      <c r="C32" s="1"/>
      <c r="D32" s="1"/>
    </row>
    <row r="33" spans="1:4" ht="24" customHeight="1">
      <c r="A33" s="7" t="s">
        <v>74</v>
      </c>
      <c r="B33" s="6" t="s">
        <v>29</v>
      </c>
      <c r="C33" s="1"/>
      <c r="D33" s="1"/>
    </row>
    <row r="34" spans="1:4" ht="24" customHeight="1">
      <c r="A34" s="7" t="s">
        <v>75</v>
      </c>
      <c r="B34" s="6" t="s">
        <v>29</v>
      </c>
      <c r="C34" s="1"/>
      <c r="D34" s="1"/>
    </row>
    <row r="35" spans="1:4" ht="24" customHeight="1">
      <c r="A35" s="7" t="s">
        <v>76</v>
      </c>
      <c r="B35" s="6" t="s">
        <v>29</v>
      </c>
      <c r="C35" s="1"/>
      <c r="D35" s="1"/>
    </row>
    <row r="36" spans="1:4" ht="24" customHeight="1">
      <c r="A36" s="7" t="s">
        <v>77</v>
      </c>
      <c r="B36" s="6" t="s">
        <v>29</v>
      </c>
      <c r="C36" s="1"/>
      <c r="D36" s="1"/>
    </row>
    <row r="37" spans="1:4" ht="24" customHeight="1">
      <c r="A37" s="7" t="s">
        <v>78</v>
      </c>
      <c r="B37" s="6" t="s">
        <v>29</v>
      </c>
      <c r="C37" s="1"/>
      <c r="D37" s="1"/>
    </row>
    <row r="38" spans="1:4" ht="24" customHeight="1">
      <c r="A38" s="7" t="s">
        <v>79</v>
      </c>
      <c r="B38" s="6" t="s">
        <v>29</v>
      </c>
      <c r="C38" s="1"/>
      <c r="D38" s="1"/>
    </row>
    <row r="39" spans="1:4" ht="24" customHeight="1">
      <c r="A39" s="7" t="s">
        <v>80</v>
      </c>
      <c r="B39" s="6" t="s">
        <v>29</v>
      </c>
      <c r="C39" s="1"/>
      <c r="D39" s="1"/>
    </row>
    <row r="40" spans="1:4" ht="24" customHeight="1">
      <c r="A40" s="7" t="s">
        <v>81</v>
      </c>
      <c r="B40" s="6" t="s">
        <v>29</v>
      </c>
      <c r="C40" s="1"/>
      <c r="D40" s="1"/>
    </row>
    <row r="41" spans="1:4" ht="24" customHeight="1">
      <c r="A41" s="7" t="s">
        <v>82</v>
      </c>
      <c r="B41" s="6" t="s">
        <v>29</v>
      </c>
      <c r="C41" s="1"/>
      <c r="D41" s="1"/>
    </row>
    <row r="42" spans="1:4" ht="24" customHeight="1">
      <c r="A42" s="7" t="s">
        <v>83</v>
      </c>
      <c r="B42" s="6" t="s">
        <v>29</v>
      </c>
      <c r="C42" s="1"/>
      <c r="D42" s="1"/>
    </row>
    <row r="43" spans="1:4" ht="24" customHeight="1">
      <c r="A43" s="7" t="s">
        <v>84</v>
      </c>
      <c r="B43" s="6" t="s">
        <v>29</v>
      </c>
      <c r="C43" s="1"/>
      <c r="D43" s="1"/>
    </row>
    <row r="44" spans="1:4" ht="24" customHeight="1">
      <c r="A44" s="7" t="s">
        <v>85</v>
      </c>
      <c r="B44" s="6" t="s">
        <v>29</v>
      </c>
      <c r="C44" s="1"/>
      <c r="D44" s="1"/>
    </row>
    <row r="45" spans="1:4" ht="24" customHeight="1">
      <c r="A45" s="7" t="s">
        <v>86</v>
      </c>
      <c r="B45" s="6" t="s">
        <v>29</v>
      </c>
      <c r="C45" s="1"/>
      <c r="D45" s="1"/>
    </row>
    <row r="46" spans="1:4" ht="24" customHeight="1">
      <c r="A46" s="7" t="s">
        <v>87</v>
      </c>
      <c r="B46" s="6" t="s">
        <v>29</v>
      </c>
      <c r="C46" s="1"/>
      <c r="D46" s="1"/>
    </row>
    <row r="47" spans="1:4" ht="24" customHeight="1">
      <c r="A47" s="7" t="s">
        <v>88</v>
      </c>
      <c r="B47" s="6" t="s">
        <v>29</v>
      </c>
      <c r="C47" s="1"/>
      <c r="D47" s="1"/>
    </row>
    <row r="48" spans="1:4" ht="24" customHeight="1">
      <c r="A48" s="7" t="s">
        <v>89</v>
      </c>
      <c r="B48" s="6" t="s">
        <v>29</v>
      </c>
      <c r="C48" s="1"/>
      <c r="D48" s="1"/>
    </row>
    <row r="49" spans="1:4" ht="24" customHeight="1">
      <c r="A49" s="7" t="s">
        <v>90</v>
      </c>
      <c r="B49" s="6" t="s">
        <v>29</v>
      </c>
      <c r="C49" s="1"/>
      <c r="D49" s="1"/>
    </row>
    <row r="50" spans="1:4" ht="24" customHeight="1">
      <c r="A50" s="7" t="s">
        <v>91</v>
      </c>
      <c r="B50" s="6" t="s">
        <v>29</v>
      </c>
      <c r="C50" s="1"/>
      <c r="D50" s="1"/>
    </row>
    <row r="51" spans="1:4" ht="24" customHeight="1">
      <c r="A51" s="7" t="s">
        <v>92</v>
      </c>
      <c r="B51" s="6" t="s">
        <v>29</v>
      </c>
      <c r="C51" s="1"/>
      <c r="D51" s="1"/>
    </row>
    <row r="52" spans="1:4" ht="24" customHeight="1">
      <c r="A52" s="7" t="s">
        <v>93</v>
      </c>
      <c r="B52" s="6" t="s">
        <v>29</v>
      </c>
      <c r="C52" s="1"/>
      <c r="D52" s="1"/>
    </row>
    <row r="53" spans="1:4" ht="24" customHeight="1">
      <c r="A53" s="7" t="s">
        <v>94</v>
      </c>
      <c r="B53" s="6" t="s">
        <v>29</v>
      </c>
      <c r="C53" s="1"/>
      <c r="D53" s="1"/>
    </row>
    <row r="54" spans="1:4" ht="24" customHeight="1">
      <c r="A54" s="7" t="s">
        <v>95</v>
      </c>
      <c r="B54" s="6" t="s">
        <v>29</v>
      </c>
      <c r="C54" s="1"/>
      <c r="D54" s="1"/>
    </row>
    <row r="55" spans="1:4" ht="24" customHeight="1">
      <c r="A55" s="7" t="s">
        <v>96</v>
      </c>
      <c r="B55" s="6" t="s">
        <v>29</v>
      </c>
      <c r="C55" s="1"/>
      <c r="D55" s="1"/>
    </row>
    <row r="56" spans="1:4" ht="24" customHeight="1">
      <c r="A56" s="7" t="s">
        <v>97</v>
      </c>
      <c r="B56" s="6" t="s">
        <v>29</v>
      </c>
      <c r="C56" s="1"/>
      <c r="D56" s="1"/>
    </row>
    <row r="57" spans="1:4" ht="24" customHeight="1">
      <c r="A57" s="7" t="s">
        <v>98</v>
      </c>
      <c r="B57" s="6" t="s">
        <v>29</v>
      </c>
      <c r="C57" s="1"/>
      <c r="D57" s="1"/>
    </row>
    <row r="58" spans="1:4" ht="24" customHeight="1">
      <c r="A58" s="7" t="s">
        <v>99</v>
      </c>
      <c r="B58" s="6" t="s">
        <v>29</v>
      </c>
      <c r="C58" s="1"/>
      <c r="D58" s="1"/>
    </row>
    <row r="59" spans="1:4" ht="24" customHeight="1">
      <c r="A59" s="7" t="s">
        <v>100</v>
      </c>
      <c r="B59" s="6" t="s">
        <v>29</v>
      </c>
      <c r="C59" s="1"/>
      <c r="D59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D4DF"/>
  </sheetPr>
  <dimension ref="A1:C201"/>
  <sheetViews>
    <sheetView showGridLines="0" workbookViewId="0"/>
  </sheetViews>
  <sheetFormatPr baseColWidth="10" defaultColWidth="9" defaultRowHeight="14.25"/>
  <cols>
    <col min="1" max="1" width="25" customWidth="1"/>
    <col min="2" max="2" width="3" customWidth="1"/>
    <col min="3" max="3" width="25" customWidth="1"/>
  </cols>
  <sheetData>
    <row r="1" spans="1:3" ht="26.1" customHeight="1">
      <c r="A1" s="4" t="s">
        <v>7</v>
      </c>
      <c r="B1" s="4"/>
      <c r="C1" s="4" t="s">
        <v>8</v>
      </c>
    </row>
    <row r="2" spans="1:3" ht="23.1" customHeight="1">
      <c r="A2" s="1" t="s">
        <v>101</v>
      </c>
      <c r="B2" s="1"/>
      <c r="C2" s="6" t="s">
        <v>102</v>
      </c>
    </row>
    <row r="3" spans="1:3" ht="23.1" customHeight="1">
      <c r="A3" s="1" t="s">
        <v>103</v>
      </c>
      <c r="B3" s="1"/>
      <c r="C3" s="6" t="s">
        <v>26</v>
      </c>
    </row>
    <row r="4" spans="1:3" ht="23.1" customHeight="1">
      <c r="A4" s="1" t="s">
        <v>25</v>
      </c>
      <c r="B4" s="1"/>
      <c r="C4" s="6" t="s">
        <v>104</v>
      </c>
    </row>
    <row r="5" spans="1:3" ht="23.1" customHeight="1">
      <c r="A5" s="1" t="s">
        <v>21</v>
      </c>
      <c r="B5" s="1"/>
      <c r="C5" s="6" t="s">
        <v>105</v>
      </c>
    </row>
    <row r="6" spans="1:3" ht="23.1" customHeight="1">
      <c r="A6" s="1" t="s">
        <v>15</v>
      </c>
      <c r="B6" s="1"/>
      <c r="C6" s="6" t="s">
        <v>106</v>
      </c>
    </row>
    <row r="7" spans="1:3" ht="23.1" customHeight="1">
      <c r="A7" s="1" t="s">
        <v>107</v>
      </c>
      <c r="B7" s="1"/>
      <c r="C7" s="6" t="s">
        <v>108</v>
      </c>
    </row>
    <row r="8" spans="1:3" ht="23.1" customHeight="1">
      <c r="A8" s="1"/>
      <c r="B8" s="1"/>
      <c r="C8" s="6" t="s">
        <v>109</v>
      </c>
    </row>
    <row r="9" spans="1:3" ht="23.1" customHeight="1">
      <c r="A9" s="1"/>
      <c r="B9" s="1"/>
      <c r="C9" s="6" t="s">
        <v>22</v>
      </c>
    </row>
    <row r="10" spans="1:3" ht="23.1" customHeight="1">
      <c r="A10" s="1"/>
      <c r="B10" s="1"/>
      <c r="C10" s="6" t="s">
        <v>16</v>
      </c>
    </row>
    <row r="11" spans="1:3" ht="23.1" customHeight="1">
      <c r="A11" s="1"/>
      <c r="B11" s="1"/>
      <c r="C11" s="6" t="s">
        <v>110</v>
      </c>
    </row>
    <row r="12" spans="1:3" ht="23.1" customHeight="1">
      <c r="A12" s="1"/>
      <c r="B12" s="1"/>
      <c r="C12" s="6" t="s">
        <v>111</v>
      </c>
    </row>
    <row r="13" spans="1:3" ht="23.1" customHeight="1">
      <c r="A13" s="1"/>
      <c r="B13" s="1"/>
      <c r="C13" s="6" t="s">
        <v>103</v>
      </c>
    </row>
    <row r="14" spans="1:3" ht="23.1" customHeight="1">
      <c r="A14" s="1"/>
      <c r="B14" s="1"/>
      <c r="C14" s="6" t="s">
        <v>15</v>
      </c>
    </row>
    <row r="15" spans="1:3" ht="23.1" customHeight="1">
      <c r="A15" s="1"/>
      <c r="B15" s="1"/>
      <c r="C15" s="6" t="s">
        <v>112</v>
      </c>
    </row>
    <row r="16" spans="1:3" ht="23.1" customHeight="1">
      <c r="A16" s="1"/>
      <c r="B16" s="1"/>
      <c r="C16" s="6"/>
    </row>
    <row r="17" spans="1:3" ht="23.1" customHeight="1">
      <c r="A17" s="1"/>
      <c r="B17" s="1"/>
      <c r="C17" s="6"/>
    </row>
    <row r="18" spans="1:3" ht="23.1" customHeight="1">
      <c r="A18" s="1"/>
      <c r="B18" s="1"/>
      <c r="C18" s="6"/>
    </row>
    <row r="19" spans="1:3" ht="23.1" customHeight="1">
      <c r="A19" s="1"/>
      <c r="B19" s="1"/>
      <c r="C19" s="6"/>
    </row>
    <row r="20" spans="1:3" ht="23.1" customHeight="1">
      <c r="A20" s="1"/>
      <c r="B20" s="1"/>
      <c r="C20" s="6"/>
    </row>
    <row r="21" spans="1:3" ht="23.1" customHeight="1">
      <c r="A21" s="1"/>
      <c r="B21" s="1"/>
      <c r="C21" s="6"/>
    </row>
    <row r="22" spans="1:3" ht="23.1" customHeight="1">
      <c r="A22" s="1"/>
      <c r="B22" s="1"/>
      <c r="C22" s="6"/>
    </row>
    <row r="23" spans="1:3" ht="23.1" customHeight="1">
      <c r="A23" s="1"/>
      <c r="B23" s="1"/>
      <c r="C23" s="6"/>
    </row>
    <row r="24" spans="1:3" ht="23.1" customHeight="1">
      <c r="A24" s="1"/>
      <c r="B24" s="1"/>
      <c r="C24" s="6"/>
    </row>
    <row r="25" spans="1:3" ht="23.1" customHeight="1">
      <c r="A25" s="1"/>
      <c r="B25" s="1"/>
      <c r="C25" s="6"/>
    </row>
    <row r="26" spans="1:3" ht="23.1" customHeight="1">
      <c r="A26" s="1"/>
      <c r="B26" s="1"/>
      <c r="C26" s="6"/>
    </row>
    <row r="27" spans="1:3" ht="23.1" customHeight="1">
      <c r="A27" s="1"/>
      <c r="B27" s="1"/>
      <c r="C27" s="6"/>
    </row>
    <row r="28" spans="1:3" ht="23.1" customHeight="1">
      <c r="A28" s="1"/>
      <c r="B28" s="1"/>
      <c r="C28" s="6"/>
    </row>
    <row r="29" spans="1:3" ht="23.1" customHeight="1">
      <c r="A29" s="1"/>
      <c r="B29" s="1"/>
      <c r="C29" s="6"/>
    </row>
    <row r="30" spans="1:3" ht="23.1" customHeight="1">
      <c r="A30" s="1"/>
      <c r="B30" s="1"/>
      <c r="C30" s="6"/>
    </row>
    <row r="31" spans="1:3" ht="23.1" customHeight="1">
      <c r="A31" s="1"/>
      <c r="B31" s="1"/>
      <c r="C31" s="6"/>
    </row>
    <row r="32" spans="1:3" ht="23.1" customHeight="1">
      <c r="A32" s="1"/>
      <c r="B32" s="1"/>
      <c r="C32" s="6"/>
    </row>
    <row r="33" spans="1:3" ht="23.1" customHeight="1">
      <c r="A33" s="1"/>
      <c r="B33" s="1"/>
      <c r="C33" s="6"/>
    </row>
    <row r="34" spans="1:3" ht="23.1" customHeight="1">
      <c r="A34" s="1"/>
      <c r="B34" s="1"/>
      <c r="C34" s="6"/>
    </row>
    <row r="35" spans="1:3" ht="23.1" customHeight="1">
      <c r="A35" s="1"/>
      <c r="B35" s="1"/>
      <c r="C35" s="6"/>
    </row>
    <row r="36" spans="1:3" ht="23.1" customHeight="1">
      <c r="A36" s="1"/>
      <c r="B36" s="1"/>
      <c r="C36" s="6"/>
    </row>
    <row r="37" spans="1:3" ht="23.1" customHeight="1">
      <c r="A37" s="1"/>
      <c r="B37" s="1"/>
      <c r="C37" s="6"/>
    </row>
    <row r="38" spans="1:3" ht="23.1" customHeight="1">
      <c r="A38" s="1"/>
      <c r="B38" s="1"/>
      <c r="C38" s="6"/>
    </row>
    <row r="39" spans="1:3" ht="23.1" customHeight="1">
      <c r="A39" s="1"/>
      <c r="B39" s="1"/>
      <c r="C39" s="6"/>
    </row>
    <row r="40" spans="1:3" ht="23.1" customHeight="1">
      <c r="A40" s="1"/>
      <c r="B40" s="1"/>
      <c r="C40" s="6"/>
    </row>
    <row r="41" spans="1:3" ht="23.1" customHeight="1">
      <c r="A41" s="1"/>
      <c r="B41" s="1"/>
      <c r="C41" s="6"/>
    </row>
    <row r="42" spans="1:3" ht="23.1" customHeight="1">
      <c r="A42" s="1"/>
      <c r="B42" s="1"/>
      <c r="C42" s="6"/>
    </row>
    <row r="43" spans="1:3" ht="23.1" customHeight="1">
      <c r="A43" s="1"/>
      <c r="B43" s="1"/>
      <c r="C43" s="6"/>
    </row>
    <row r="44" spans="1:3" ht="23.1" customHeight="1">
      <c r="A44" s="1"/>
      <c r="B44" s="1"/>
      <c r="C44" s="6"/>
    </row>
    <row r="45" spans="1:3" ht="23.1" customHeight="1">
      <c r="A45" s="1"/>
      <c r="B45" s="1"/>
      <c r="C45" s="6"/>
    </row>
    <row r="46" spans="1:3" ht="23.1" customHeight="1">
      <c r="A46" s="1"/>
      <c r="B46" s="1"/>
      <c r="C46" s="6"/>
    </row>
    <row r="47" spans="1:3" ht="23.1" customHeight="1">
      <c r="A47" s="1"/>
      <c r="B47" s="1"/>
      <c r="C47" s="6"/>
    </row>
    <row r="48" spans="1:3" ht="23.1" customHeight="1">
      <c r="A48" s="1"/>
      <c r="B48" s="1"/>
      <c r="C48" s="6"/>
    </row>
    <row r="49" spans="1:3" ht="23.1" customHeight="1">
      <c r="A49" s="1"/>
      <c r="B49" s="1"/>
      <c r="C49" s="6"/>
    </row>
    <row r="50" spans="1:3" ht="23.1" customHeight="1">
      <c r="A50" s="1"/>
      <c r="B50" s="1"/>
      <c r="C50" s="6"/>
    </row>
    <row r="51" spans="1:3" ht="23.1" customHeight="1">
      <c r="A51" s="1"/>
      <c r="B51" s="1"/>
      <c r="C51" s="6"/>
    </row>
    <row r="52" spans="1:3" ht="23.1" customHeight="1">
      <c r="A52" s="1"/>
      <c r="B52" s="1"/>
      <c r="C52" s="6"/>
    </row>
    <row r="53" spans="1:3" ht="23.1" customHeight="1">
      <c r="A53" s="1"/>
      <c r="B53" s="1"/>
      <c r="C53" s="6"/>
    </row>
    <row r="54" spans="1:3" ht="23.1" customHeight="1">
      <c r="A54" s="1"/>
      <c r="B54" s="1"/>
      <c r="C54" s="6"/>
    </row>
    <row r="55" spans="1:3" ht="23.1" customHeight="1">
      <c r="A55" s="1"/>
      <c r="B55" s="1"/>
      <c r="C55" s="6"/>
    </row>
    <row r="56" spans="1:3" ht="23.1" customHeight="1">
      <c r="A56" s="1"/>
      <c r="B56" s="1"/>
      <c r="C56" s="6"/>
    </row>
    <row r="57" spans="1:3" ht="23.1" customHeight="1">
      <c r="A57" s="1"/>
      <c r="B57" s="1"/>
      <c r="C57" s="6"/>
    </row>
    <row r="58" spans="1:3" ht="23.1" customHeight="1">
      <c r="A58" s="1"/>
      <c r="B58" s="1"/>
      <c r="C58" s="6"/>
    </row>
    <row r="59" spans="1:3" ht="23.1" customHeight="1">
      <c r="A59" s="1"/>
      <c r="B59" s="1"/>
      <c r="C59" s="6"/>
    </row>
    <row r="60" spans="1:3" ht="23.1" customHeight="1">
      <c r="A60" s="1"/>
      <c r="B60" s="1"/>
      <c r="C60" s="6"/>
    </row>
    <row r="61" spans="1:3" ht="23.1" customHeight="1">
      <c r="A61" s="1"/>
      <c r="B61" s="1"/>
      <c r="C61" s="6"/>
    </row>
    <row r="62" spans="1:3" ht="23.1" customHeight="1">
      <c r="A62" s="1"/>
      <c r="B62" s="1"/>
      <c r="C62" s="6"/>
    </row>
    <row r="63" spans="1:3" ht="23.1" customHeight="1">
      <c r="A63" s="1"/>
      <c r="B63" s="1"/>
      <c r="C63" s="6"/>
    </row>
    <row r="64" spans="1:3" ht="23.1" customHeight="1">
      <c r="A64" s="1"/>
      <c r="B64" s="1"/>
      <c r="C64" s="6"/>
    </row>
    <row r="65" spans="1:3" ht="23.1" customHeight="1">
      <c r="A65" s="1"/>
      <c r="B65" s="1"/>
      <c r="C65" s="6"/>
    </row>
    <row r="66" spans="1:3" ht="23.1" customHeight="1">
      <c r="A66" s="1"/>
      <c r="B66" s="1"/>
      <c r="C66" s="6"/>
    </row>
    <row r="67" spans="1:3" ht="23.1" customHeight="1">
      <c r="A67" s="1"/>
      <c r="B67" s="1"/>
      <c r="C67" s="6"/>
    </row>
    <row r="68" spans="1:3" ht="23.1" customHeight="1">
      <c r="A68" s="1"/>
      <c r="B68" s="1"/>
      <c r="C68" s="6"/>
    </row>
    <row r="69" spans="1:3" ht="23.1" customHeight="1">
      <c r="A69" s="1"/>
      <c r="B69" s="1"/>
      <c r="C69" s="6"/>
    </row>
    <row r="70" spans="1:3" ht="23.1" customHeight="1">
      <c r="A70" s="1"/>
      <c r="B70" s="1"/>
      <c r="C70" s="6"/>
    </row>
    <row r="71" spans="1:3" ht="23.1" customHeight="1">
      <c r="A71" s="1"/>
      <c r="B71" s="1"/>
      <c r="C71" s="6"/>
    </row>
    <row r="72" spans="1:3" ht="23.1" customHeight="1">
      <c r="A72" s="1"/>
      <c r="B72" s="1"/>
      <c r="C72" s="6"/>
    </row>
    <row r="73" spans="1:3" ht="23.1" customHeight="1">
      <c r="A73" s="1"/>
      <c r="B73" s="1"/>
      <c r="C73" s="6"/>
    </row>
    <row r="74" spans="1:3" ht="23.1" customHeight="1">
      <c r="A74" s="1"/>
      <c r="B74" s="1"/>
      <c r="C74" s="6"/>
    </row>
    <row r="75" spans="1:3" ht="23.1" customHeight="1">
      <c r="A75" s="1"/>
      <c r="B75" s="1"/>
      <c r="C75" s="6"/>
    </row>
    <row r="76" spans="1:3" ht="23.1" customHeight="1">
      <c r="A76" s="1"/>
      <c r="B76" s="1"/>
      <c r="C76" s="6"/>
    </row>
    <row r="77" spans="1:3" ht="23.1" customHeight="1">
      <c r="A77" s="1"/>
      <c r="B77" s="1"/>
      <c r="C77" s="6"/>
    </row>
    <row r="78" spans="1:3" ht="23.1" customHeight="1">
      <c r="A78" s="1"/>
      <c r="B78" s="1"/>
      <c r="C78" s="6"/>
    </row>
    <row r="79" spans="1:3" ht="23.1" customHeight="1">
      <c r="A79" s="1"/>
      <c r="B79" s="1"/>
      <c r="C79" s="6"/>
    </row>
    <row r="80" spans="1:3" ht="23.1" customHeight="1">
      <c r="A80" s="1"/>
      <c r="B80" s="1"/>
      <c r="C80" s="6"/>
    </row>
    <row r="81" spans="1:3" ht="23.1" customHeight="1">
      <c r="A81" s="1"/>
      <c r="B81" s="1"/>
      <c r="C81" s="6"/>
    </row>
    <row r="82" spans="1:3" ht="23.1" customHeight="1">
      <c r="A82" s="1"/>
      <c r="B82" s="1"/>
      <c r="C82" s="6"/>
    </row>
    <row r="83" spans="1:3" ht="23.1" customHeight="1">
      <c r="A83" s="1"/>
      <c r="B83" s="1"/>
      <c r="C83" s="6"/>
    </row>
    <row r="84" spans="1:3" ht="23.1" customHeight="1">
      <c r="A84" s="1"/>
      <c r="B84" s="1"/>
      <c r="C84" s="6"/>
    </row>
    <row r="85" spans="1:3" ht="23.1" customHeight="1">
      <c r="A85" s="1"/>
      <c r="B85" s="1"/>
      <c r="C85" s="6"/>
    </row>
    <row r="86" spans="1:3" ht="23.1" customHeight="1">
      <c r="A86" s="1"/>
      <c r="B86" s="1"/>
      <c r="C86" s="6"/>
    </row>
    <row r="87" spans="1:3" ht="23.1" customHeight="1">
      <c r="A87" s="1"/>
      <c r="B87" s="1"/>
      <c r="C87" s="6"/>
    </row>
    <row r="88" spans="1:3" ht="23.1" customHeight="1">
      <c r="A88" s="1"/>
      <c r="B88" s="1"/>
      <c r="C88" s="6"/>
    </row>
    <row r="89" spans="1:3" ht="23.1" customHeight="1">
      <c r="A89" s="1"/>
      <c r="B89" s="1"/>
      <c r="C89" s="6"/>
    </row>
    <row r="90" spans="1:3" ht="23.1" customHeight="1">
      <c r="A90" s="1"/>
      <c r="B90" s="1"/>
      <c r="C90" s="6"/>
    </row>
    <row r="91" spans="1:3" ht="23.1" customHeight="1">
      <c r="A91" s="1"/>
      <c r="B91" s="1"/>
      <c r="C91" s="6"/>
    </row>
    <row r="92" spans="1:3" ht="23.1" customHeight="1">
      <c r="A92" s="1"/>
      <c r="B92" s="1"/>
      <c r="C92" s="6"/>
    </row>
    <row r="93" spans="1:3" ht="23.1" customHeight="1">
      <c r="A93" s="1"/>
      <c r="B93" s="1"/>
      <c r="C93" s="6"/>
    </row>
    <row r="94" spans="1:3" ht="23.1" customHeight="1">
      <c r="A94" s="1"/>
      <c r="B94" s="1"/>
      <c r="C94" s="6"/>
    </row>
    <row r="95" spans="1:3" ht="23.1" customHeight="1">
      <c r="A95" s="1"/>
      <c r="B95" s="1"/>
      <c r="C95" s="6"/>
    </row>
    <row r="96" spans="1:3" ht="23.1" customHeight="1">
      <c r="A96" s="1"/>
      <c r="B96" s="1"/>
      <c r="C96" s="6"/>
    </row>
    <row r="97" spans="1:3" ht="23.1" customHeight="1">
      <c r="A97" s="1"/>
      <c r="B97" s="1"/>
      <c r="C97" s="6"/>
    </row>
    <row r="98" spans="1:3" ht="23.1" customHeight="1">
      <c r="A98" s="1"/>
      <c r="B98" s="1"/>
      <c r="C98" s="6"/>
    </row>
    <row r="99" spans="1:3" ht="23.1" customHeight="1">
      <c r="A99" s="1"/>
      <c r="B99" s="1"/>
      <c r="C99" s="6"/>
    </row>
    <row r="100" spans="1:3" ht="23.1" customHeight="1">
      <c r="A100" s="1"/>
      <c r="B100" s="1"/>
      <c r="C100" s="6"/>
    </row>
    <row r="101" spans="1:3" ht="23.1" customHeight="1">
      <c r="A101" s="1"/>
      <c r="B101" s="1"/>
      <c r="C101" s="6"/>
    </row>
    <row r="102" spans="1:3" ht="23.1" customHeight="1">
      <c r="A102" s="1"/>
      <c r="B102" s="1"/>
      <c r="C102" s="6"/>
    </row>
    <row r="103" spans="1:3" ht="23.1" customHeight="1">
      <c r="A103" s="1"/>
      <c r="B103" s="1"/>
      <c r="C103" s="6"/>
    </row>
    <row r="104" spans="1:3" ht="23.1" customHeight="1">
      <c r="A104" s="1"/>
      <c r="B104" s="1"/>
      <c r="C104" s="6"/>
    </row>
    <row r="105" spans="1:3" ht="23.1" customHeight="1">
      <c r="A105" s="1"/>
      <c r="B105" s="1"/>
      <c r="C105" s="6"/>
    </row>
    <row r="106" spans="1:3" ht="23.1" customHeight="1">
      <c r="A106" s="1"/>
      <c r="B106" s="1"/>
      <c r="C106" s="6"/>
    </row>
    <row r="107" spans="1:3" ht="23.1" customHeight="1">
      <c r="A107" s="1"/>
      <c r="B107" s="1"/>
      <c r="C107" s="6"/>
    </row>
    <row r="108" spans="1:3" ht="23.1" customHeight="1">
      <c r="A108" s="1"/>
      <c r="B108" s="1"/>
      <c r="C108" s="6"/>
    </row>
    <row r="109" spans="1:3" ht="23.1" customHeight="1">
      <c r="A109" s="1"/>
      <c r="B109" s="1"/>
      <c r="C109" s="6"/>
    </row>
    <row r="110" spans="1:3" ht="23.1" customHeight="1">
      <c r="A110" s="1"/>
      <c r="B110" s="1"/>
      <c r="C110" s="6"/>
    </row>
    <row r="111" spans="1:3" ht="23.1" customHeight="1">
      <c r="A111" s="1"/>
      <c r="B111" s="1"/>
      <c r="C111" s="6"/>
    </row>
    <row r="112" spans="1:3" ht="23.1" customHeight="1">
      <c r="A112" s="1"/>
      <c r="B112" s="1"/>
      <c r="C112" s="6"/>
    </row>
    <row r="113" spans="1:3" ht="23.1" customHeight="1">
      <c r="A113" s="1"/>
      <c r="B113" s="1"/>
      <c r="C113" s="6"/>
    </row>
    <row r="114" spans="1:3" ht="23.1" customHeight="1">
      <c r="A114" s="1"/>
      <c r="B114" s="1"/>
      <c r="C114" s="6"/>
    </row>
    <row r="115" spans="1:3" ht="23.1" customHeight="1">
      <c r="A115" s="1"/>
      <c r="B115" s="1"/>
      <c r="C115" s="6"/>
    </row>
    <row r="116" spans="1:3" ht="23.1" customHeight="1">
      <c r="A116" s="1"/>
      <c r="B116" s="1"/>
      <c r="C116" s="6"/>
    </row>
    <row r="117" spans="1:3" ht="23.1" customHeight="1">
      <c r="A117" s="1"/>
      <c r="B117" s="1"/>
      <c r="C117" s="6"/>
    </row>
    <row r="118" spans="1:3" ht="23.1" customHeight="1">
      <c r="A118" s="1"/>
      <c r="B118" s="1"/>
      <c r="C118" s="6"/>
    </row>
    <row r="119" spans="1:3" ht="23.1" customHeight="1">
      <c r="A119" s="1"/>
      <c r="B119" s="1"/>
      <c r="C119" s="6"/>
    </row>
    <row r="120" spans="1:3" ht="23.1" customHeight="1">
      <c r="A120" s="1"/>
      <c r="B120" s="1"/>
      <c r="C120" s="6"/>
    </row>
    <row r="121" spans="1:3" ht="23.1" customHeight="1">
      <c r="A121" s="1"/>
      <c r="B121" s="1"/>
      <c r="C121" s="6"/>
    </row>
    <row r="122" spans="1:3" ht="23.1" customHeight="1">
      <c r="A122" s="1"/>
      <c r="B122" s="1"/>
      <c r="C122" s="6"/>
    </row>
    <row r="123" spans="1:3" ht="23.1" customHeight="1">
      <c r="A123" s="1"/>
      <c r="B123" s="1"/>
      <c r="C123" s="6"/>
    </row>
    <row r="124" spans="1:3" ht="23.1" customHeight="1">
      <c r="A124" s="1"/>
      <c r="B124" s="1"/>
      <c r="C124" s="6"/>
    </row>
    <row r="125" spans="1:3" ht="23.1" customHeight="1">
      <c r="A125" s="1"/>
      <c r="B125" s="1"/>
      <c r="C125" s="6"/>
    </row>
    <row r="126" spans="1:3" ht="23.1" customHeight="1">
      <c r="A126" s="1"/>
      <c r="B126" s="1"/>
      <c r="C126" s="6"/>
    </row>
    <row r="127" spans="1:3" ht="23.1" customHeight="1">
      <c r="A127" s="1"/>
      <c r="B127" s="1"/>
      <c r="C127" s="6"/>
    </row>
    <row r="128" spans="1:3" ht="23.1" customHeight="1">
      <c r="A128" s="1"/>
      <c r="B128" s="1"/>
      <c r="C128" s="6"/>
    </row>
    <row r="129" spans="1:3" ht="23.1" customHeight="1">
      <c r="A129" s="1"/>
      <c r="B129" s="1"/>
      <c r="C129" s="6"/>
    </row>
    <row r="130" spans="1:3" ht="23.1" customHeight="1">
      <c r="A130" s="1"/>
      <c r="B130" s="1"/>
      <c r="C130" s="6"/>
    </row>
    <row r="131" spans="1:3" ht="23.1" customHeight="1">
      <c r="A131" s="1"/>
      <c r="B131" s="1"/>
      <c r="C131" s="6"/>
    </row>
    <row r="132" spans="1:3" ht="23.1" customHeight="1">
      <c r="A132" s="1"/>
      <c r="B132" s="1"/>
      <c r="C132" s="6"/>
    </row>
    <row r="133" spans="1:3" ht="23.1" customHeight="1">
      <c r="A133" s="1"/>
      <c r="B133" s="1"/>
      <c r="C133" s="6"/>
    </row>
    <row r="134" spans="1:3" ht="23.1" customHeight="1">
      <c r="A134" s="1"/>
      <c r="B134" s="1"/>
      <c r="C134" s="6"/>
    </row>
    <row r="135" spans="1:3" ht="23.1" customHeight="1">
      <c r="A135" s="1"/>
      <c r="B135" s="1"/>
      <c r="C135" s="6"/>
    </row>
    <row r="136" spans="1:3" ht="23.1" customHeight="1">
      <c r="A136" s="1"/>
      <c r="B136" s="1"/>
      <c r="C136" s="6"/>
    </row>
    <row r="137" spans="1:3" ht="23.1" customHeight="1">
      <c r="A137" s="1"/>
      <c r="B137" s="1"/>
      <c r="C137" s="6"/>
    </row>
    <row r="138" spans="1:3" ht="23.1" customHeight="1">
      <c r="A138" s="1"/>
      <c r="B138" s="1"/>
      <c r="C138" s="6"/>
    </row>
    <row r="139" spans="1:3" ht="23.1" customHeight="1">
      <c r="A139" s="1"/>
      <c r="B139" s="1"/>
      <c r="C139" s="6"/>
    </row>
    <row r="140" spans="1:3" ht="23.1" customHeight="1">
      <c r="A140" s="1"/>
      <c r="B140" s="1"/>
      <c r="C140" s="6"/>
    </row>
    <row r="141" spans="1:3" ht="23.1" customHeight="1">
      <c r="A141" s="1"/>
      <c r="B141" s="1"/>
      <c r="C141" s="6"/>
    </row>
    <row r="142" spans="1:3" ht="23.1" customHeight="1">
      <c r="A142" s="1"/>
      <c r="B142" s="1"/>
      <c r="C142" s="6"/>
    </row>
    <row r="143" spans="1:3" ht="23.1" customHeight="1">
      <c r="A143" s="1"/>
      <c r="B143" s="1"/>
      <c r="C143" s="6"/>
    </row>
    <row r="144" spans="1:3" ht="23.1" customHeight="1">
      <c r="A144" s="1"/>
      <c r="B144" s="1"/>
      <c r="C144" s="6"/>
    </row>
    <row r="145" spans="1:3" ht="23.1" customHeight="1">
      <c r="A145" s="1"/>
      <c r="B145" s="1"/>
      <c r="C145" s="6"/>
    </row>
    <row r="146" spans="1:3" ht="23.1" customHeight="1">
      <c r="A146" s="1"/>
      <c r="B146" s="1"/>
      <c r="C146" s="6"/>
    </row>
    <row r="147" spans="1:3" ht="23.1" customHeight="1">
      <c r="A147" s="1"/>
      <c r="B147" s="1"/>
      <c r="C147" s="6"/>
    </row>
    <row r="148" spans="1:3" ht="23.1" customHeight="1">
      <c r="A148" s="1"/>
      <c r="B148" s="1"/>
      <c r="C148" s="6"/>
    </row>
    <row r="149" spans="1:3" ht="23.1" customHeight="1">
      <c r="A149" s="1"/>
      <c r="B149" s="1"/>
      <c r="C149" s="6"/>
    </row>
    <row r="150" spans="1:3" ht="23.1" customHeight="1">
      <c r="A150" s="1"/>
      <c r="B150" s="1"/>
      <c r="C150" s="6"/>
    </row>
    <row r="151" spans="1:3" ht="23.1" customHeight="1">
      <c r="A151" s="1"/>
      <c r="B151" s="1"/>
      <c r="C151" s="6"/>
    </row>
    <row r="152" spans="1:3" ht="23.1" customHeight="1">
      <c r="A152" s="1"/>
      <c r="B152" s="1"/>
      <c r="C152" s="6"/>
    </row>
    <row r="153" spans="1:3" ht="23.1" customHeight="1">
      <c r="A153" s="1"/>
      <c r="B153" s="1"/>
      <c r="C153" s="6"/>
    </row>
    <row r="154" spans="1:3" ht="23.1" customHeight="1">
      <c r="A154" s="1"/>
      <c r="B154" s="1"/>
      <c r="C154" s="6"/>
    </row>
    <row r="155" spans="1:3" ht="23.1" customHeight="1">
      <c r="A155" s="1"/>
      <c r="B155" s="1"/>
      <c r="C155" s="6"/>
    </row>
    <row r="156" spans="1:3" ht="23.1" customHeight="1">
      <c r="A156" s="1"/>
      <c r="B156" s="1"/>
      <c r="C156" s="6"/>
    </row>
    <row r="157" spans="1:3" ht="23.1" customHeight="1">
      <c r="A157" s="1"/>
      <c r="B157" s="1"/>
      <c r="C157" s="6"/>
    </row>
    <row r="158" spans="1:3" ht="23.1" customHeight="1">
      <c r="A158" s="1"/>
      <c r="B158" s="1"/>
      <c r="C158" s="6"/>
    </row>
    <row r="159" spans="1:3" ht="23.1" customHeight="1">
      <c r="A159" s="1"/>
      <c r="B159" s="1"/>
      <c r="C159" s="6"/>
    </row>
    <row r="160" spans="1:3" ht="23.1" customHeight="1">
      <c r="A160" s="1"/>
      <c r="B160" s="1"/>
      <c r="C160" s="6"/>
    </row>
    <row r="161" spans="1:3" ht="23.1" customHeight="1">
      <c r="A161" s="1"/>
      <c r="B161" s="1"/>
      <c r="C161" s="6"/>
    </row>
    <row r="162" spans="1:3" ht="23.1" customHeight="1">
      <c r="A162" s="1"/>
      <c r="B162" s="1"/>
      <c r="C162" s="6"/>
    </row>
    <row r="163" spans="1:3" ht="23.1" customHeight="1">
      <c r="A163" s="1"/>
      <c r="B163" s="1"/>
      <c r="C163" s="6"/>
    </row>
    <row r="164" spans="1:3" ht="23.1" customHeight="1">
      <c r="A164" s="1"/>
      <c r="B164" s="1"/>
      <c r="C164" s="6"/>
    </row>
    <row r="165" spans="1:3" ht="23.1" customHeight="1">
      <c r="A165" s="1"/>
      <c r="B165" s="1"/>
      <c r="C165" s="6"/>
    </row>
    <row r="166" spans="1:3" ht="23.1" customHeight="1">
      <c r="A166" s="1"/>
      <c r="B166" s="1"/>
      <c r="C166" s="6"/>
    </row>
    <row r="167" spans="1:3" ht="23.1" customHeight="1">
      <c r="A167" s="1"/>
      <c r="B167" s="1"/>
      <c r="C167" s="6"/>
    </row>
    <row r="168" spans="1:3" ht="23.1" customHeight="1">
      <c r="A168" s="1"/>
      <c r="B168" s="1"/>
      <c r="C168" s="6"/>
    </row>
    <row r="169" spans="1:3" ht="23.1" customHeight="1">
      <c r="A169" s="1"/>
      <c r="B169" s="1"/>
      <c r="C169" s="6"/>
    </row>
    <row r="170" spans="1:3" ht="23.1" customHeight="1">
      <c r="A170" s="1"/>
      <c r="B170" s="1"/>
      <c r="C170" s="6"/>
    </row>
    <row r="171" spans="1:3" ht="23.1" customHeight="1">
      <c r="A171" s="1"/>
      <c r="B171" s="1"/>
      <c r="C171" s="6"/>
    </row>
    <row r="172" spans="1:3" ht="23.1" customHeight="1">
      <c r="A172" s="1"/>
      <c r="B172" s="1"/>
      <c r="C172" s="6"/>
    </row>
    <row r="173" spans="1:3" ht="23.1" customHeight="1">
      <c r="A173" s="1"/>
      <c r="B173" s="1"/>
      <c r="C173" s="6"/>
    </row>
    <row r="174" spans="1:3" ht="23.1" customHeight="1">
      <c r="A174" s="1"/>
      <c r="B174" s="1"/>
      <c r="C174" s="6"/>
    </row>
    <row r="175" spans="1:3" ht="23.1" customHeight="1">
      <c r="A175" s="1"/>
      <c r="B175" s="1"/>
      <c r="C175" s="6"/>
    </row>
    <row r="176" spans="1:3" ht="23.1" customHeight="1">
      <c r="A176" s="1"/>
      <c r="B176" s="1"/>
      <c r="C176" s="6"/>
    </row>
    <row r="177" spans="1:3" ht="23.1" customHeight="1">
      <c r="A177" s="1"/>
      <c r="B177" s="1"/>
      <c r="C177" s="6"/>
    </row>
    <row r="178" spans="1:3" ht="23.1" customHeight="1">
      <c r="A178" s="1"/>
      <c r="B178" s="1"/>
      <c r="C178" s="6"/>
    </row>
    <row r="179" spans="1:3" ht="23.1" customHeight="1">
      <c r="A179" s="1"/>
      <c r="B179" s="1"/>
      <c r="C179" s="6"/>
    </row>
    <row r="180" spans="1:3" ht="23.1" customHeight="1">
      <c r="A180" s="1"/>
      <c r="B180" s="1"/>
      <c r="C180" s="6"/>
    </row>
    <row r="181" spans="1:3" ht="23.1" customHeight="1">
      <c r="A181" s="1"/>
      <c r="B181" s="1"/>
      <c r="C181" s="6"/>
    </row>
    <row r="182" spans="1:3" ht="23.1" customHeight="1">
      <c r="A182" s="1"/>
      <c r="B182" s="1"/>
      <c r="C182" s="6"/>
    </row>
    <row r="183" spans="1:3" ht="23.1" customHeight="1">
      <c r="A183" s="1"/>
      <c r="B183" s="1"/>
      <c r="C183" s="6"/>
    </row>
    <row r="184" spans="1:3" ht="23.1" customHeight="1">
      <c r="A184" s="1"/>
      <c r="B184" s="1"/>
      <c r="C184" s="6"/>
    </row>
    <row r="185" spans="1:3" ht="23.1" customHeight="1">
      <c r="A185" s="1"/>
      <c r="B185" s="1"/>
      <c r="C185" s="6"/>
    </row>
    <row r="186" spans="1:3" ht="23.1" customHeight="1">
      <c r="A186" s="1"/>
      <c r="B186" s="1"/>
      <c r="C186" s="6"/>
    </row>
    <row r="187" spans="1:3" ht="23.1" customHeight="1">
      <c r="A187" s="1"/>
      <c r="B187" s="1"/>
      <c r="C187" s="6"/>
    </row>
    <row r="188" spans="1:3" ht="23.1" customHeight="1">
      <c r="A188" s="1"/>
      <c r="B188" s="1"/>
      <c r="C188" s="6"/>
    </row>
    <row r="189" spans="1:3" ht="23.1" customHeight="1">
      <c r="A189" s="1"/>
      <c r="B189" s="1"/>
      <c r="C189" s="6"/>
    </row>
    <row r="190" spans="1:3" ht="23.1" customHeight="1">
      <c r="A190" s="1"/>
      <c r="B190" s="1"/>
      <c r="C190" s="6"/>
    </row>
    <row r="191" spans="1:3" ht="23.1" customHeight="1">
      <c r="A191" s="1"/>
      <c r="B191" s="1"/>
      <c r="C191" s="6"/>
    </row>
    <row r="192" spans="1:3" ht="23.1" customHeight="1">
      <c r="A192" s="1"/>
      <c r="B192" s="1"/>
      <c r="C192" s="6"/>
    </row>
    <row r="193" spans="1:3" ht="23.1" customHeight="1">
      <c r="A193" s="1"/>
      <c r="B193" s="1"/>
      <c r="C193" s="6"/>
    </row>
    <row r="194" spans="1:3" ht="23.1" customHeight="1">
      <c r="A194" s="1"/>
      <c r="B194" s="1"/>
      <c r="C194" s="6"/>
    </row>
    <row r="195" spans="1:3" ht="23.1" customHeight="1">
      <c r="A195" s="1"/>
      <c r="B195" s="1"/>
      <c r="C195" s="6"/>
    </row>
    <row r="196" spans="1:3" ht="23.1" customHeight="1">
      <c r="A196" s="1"/>
      <c r="B196" s="1"/>
      <c r="C196" s="6"/>
    </row>
    <row r="197" spans="1:3" ht="23.1" customHeight="1">
      <c r="A197" s="1"/>
      <c r="B197" s="1"/>
      <c r="C197" s="6"/>
    </row>
    <row r="198" spans="1:3" ht="23.1" customHeight="1">
      <c r="A198" s="1"/>
      <c r="B198" s="1"/>
      <c r="C198" s="6"/>
    </row>
    <row r="199" spans="1:3" ht="23.1" customHeight="1">
      <c r="A199" s="1"/>
      <c r="B199" s="1"/>
      <c r="C199" s="6"/>
    </row>
    <row r="200" spans="1:3" ht="23.1" customHeight="1">
      <c r="A200" s="1"/>
      <c r="B200" s="1"/>
      <c r="C200" s="6"/>
    </row>
    <row r="201" spans="1:3" ht="23.1" customHeight="1">
      <c r="A201" s="1"/>
      <c r="B201" s="1"/>
      <c r="C201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Catalogue</vt:lpstr>
      <vt:lpstr>Bibliotheques</vt:lpstr>
      <vt:lpstr>Listes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Florent BARP - Digitalis</cp:lastModifiedBy>
  <dcterms:modified xsi:type="dcterms:W3CDTF">2026-10-16T09:15:18Z</dcterms:modified>
</cp:coreProperties>
</file>